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META" sheetId="2" r:id="rId6"/>
    <sheet state="visible" name="Currency Conversi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1">
      <text>
        <t xml:space="preserve">8 + revenue growth is a general rule of the market</t>
      </text>
    </comment>
    <comment authorId="0" ref="N86">
      <text>
        <t xml:space="preserve">8 + revenue growth is a general rule of the market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1">
      <text>
        <t xml:space="preserve">8 + revenue growth is a general rule of the market</t>
      </text>
    </comment>
    <comment authorId="0" ref="N86">
      <text>
        <t xml:space="preserve">8 + revenue growth is a general rule of the market</t>
      </text>
    </comment>
  </commentList>
</comments>
</file>

<file path=xl/sharedStrings.xml><?xml version="1.0" encoding="utf-8"?>
<sst xmlns="http://schemas.openxmlformats.org/spreadsheetml/2006/main" count="502" uniqueCount="131">
  <si>
    <t>Welcome to the Deep Value Hunter Stock Valuation Template!</t>
  </si>
  <si>
    <t>1 Static, 2 Load, 3 Refresh</t>
  </si>
  <si>
    <t>Static</t>
  </si>
  <si>
    <t>Load</t>
  </si>
  <si>
    <t>Refresh</t>
  </si>
  <si>
    <r>
      <rPr>
        <rFont val="Arial"/>
      </rPr>
      <t xml:space="preserve">This sheet uses the DVH function from the </t>
    </r>
    <r>
      <rPr>
        <rFont val="Arial"/>
        <b/>
      </rPr>
      <t>Deep Value Hunter Add-On</t>
    </r>
    <r>
      <rPr>
        <rFont val="Arial"/>
      </rPr>
      <t>. Install the Extension from Extensions -&gt; Add-Ons -&gt; Get Add-Ons. Turn Iterative Calculation on in File -&gt; Settings -&gt; Calculation. Enter your ticker in C5 and switch C3 to "</t>
    </r>
    <r>
      <rPr>
        <rFont val="Arial"/>
        <b/>
      </rPr>
      <t>Load</t>
    </r>
    <r>
      <rPr>
        <rFont val="Arial"/>
      </rPr>
      <t>" to get data on your company! After data is loaded switch C3 to "</t>
    </r>
    <r>
      <rPr>
        <rFont val="Arial"/>
        <b/>
      </rPr>
      <t>Static</t>
    </r>
    <r>
      <rPr>
        <rFont val="Arial"/>
      </rPr>
      <t>" to lock the sheet. Use "</t>
    </r>
    <r>
      <rPr>
        <rFont val="Arial"/>
        <b/>
      </rPr>
      <t>Update</t>
    </r>
    <r>
      <rPr>
        <rFont val="Arial"/>
      </rPr>
      <t xml:space="preserve">" to refresh price data.  Get more info at </t>
    </r>
    <r>
      <rPr>
        <rFont val="Arial"/>
        <color rgb="FF1155CC"/>
        <u/>
      </rPr>
      <t>DeepValueHunter.com</t>
    </r>
  </si>
  <si>
    <t>Price Today</t>
  </si>
  <si>
    <t>Fair Value</t>
  </si>
  <si>
    <t>IRR</t>
  </si>
  <si>
    <t>Price ∆</t>
  </si>
  <si>
    <t>ROIC (%)</t>
  </si>
  <si>
    <t>Base Case</t>
  </si>
  <si>
    <t>Bear Case</t>
  </si>
  <si>
    <t>Last Update</t>
  </si>
  <si>
    <t>52 wk H</t>
  </si>
  <si>
    <t>Bull Case</t>
  </si>
  <si>
    <t>Market cap</t>
  </si>
  <si>
    <t>P/E Ratio</t>
  </si>
  <si>
    <t>52 wk L</t>
  </si>
  <si>
    <t>Margin of Safety</t>
  </si>
  <si>
    <t>EV / Operating Income</t>
  </si>
  <si>
    <t>Target Buy Price</t>
  </si>
  <si>
    <t>Adj FCF Yield</t>
  </si>
  <si>
    <t>Net Debt / Op Income</t>
  </si>
  <si>
    <t>Operating Margin</t>
  </si>
  <si>
    <t>Base Case Implied IRR at Different Prices</t>
  </si>
  <si>
    <t>ROIC</t>
  </si>
  <si>
    <t>Reporting Currency</t>
  </si>
  <si>
    <t>USD</t>
  </si>
  <si>
    <t>Revenue ($M)</t>
  </si>
  <si>
    <t>Y/Y ∆</t>
  </si>
  <si>
    <t>Operating Income</t>
  </si>
  <si>
    <t>Operating Cash Flow</t>
  </si>
  <si>
    <t>Capex</t>
  </si>
  <si>
    <t>SBC</t>
  </si>
  <si>
    <t>Adj.
FCF</t>
  </si>
  <si>
    <t>Adj. FCF Margin</t>
  </si>
  <si>
    <t>Net Debt</t>
  </si>
  <si>
    <t>Net Debt / EBIT</t>
  </si>
  <si>
    <t>Shares</t>
  </si>
  <si>
    <t>Market Cap</t>
  </si>
  <si>
    <t>EV</t>
  </si>
  <si>
    <t>Adj. FCF Yield</t>
  </si>
  <si>
    <t>EV/EBIT</t>
  </si>
  <si>
    <t>Tangible Book</t>
  </si>
  <si>
    <t>Gross Profit</t>
  </si>
  <si>
    <t>Gross Margin</t>
  </si>
  <si>
    <t>Net Income</t>
  </si>
  <si>
    <t>Net Margin</t>
  </si>
  <si>
    <t>Op Inc - Net Inc</t>
  </si>
  <si>
    <t>Gr Profit - Op Inc</t>
  </si>
  <si>
    <t>Rev - Gr Profit</t>
  </si>
  <si>
    <t>TTM</t>
  </si>
  <si>
    <t>CAGR or Avg</t>
  </si>
  <si>
    <t>5-year 2030 Forecasted Data</t>
  </si>
  <si>
    <t>Revenue</t>
  </si>
  <si>
    <t>Revenue Y/Y ∆</t>
  </si>
  <si>
    <t>Adj. FCF</t>
  </si>
  <si>
    <t>PV of Adj. FCF</t>
  </si>
  <si>
    <t>2029 EV/EBIT Multiple</t>
  </si>
  <si>
    <t>–</t>
  </si>
  <si>
    <t>s</t>
  </si>
  <si>
    <t>2029 Enterprise Value</t>
  </si>
  <si>
    <t>Fair Value Today</t>
  </si>
  <si>
    <t>Adjustment</t>
  </si>
  <si>
    <t>2029 Market Cap</t>
  </si>
  <si>
    <t>Discount Rate</t>
  </si>
  <si>
    <t>5-Yr Price Change</t>
  </si>
  <si>
    <t>PV of 2029 Market Cap + FCF</t>
  </si>
  <si>
    <t>3-year 2028 Forecasted Data</t>
  </si>
  <si>
    <t>2027 EV/EBIT Multiple</t>
  </si>
  <si>
    <t>2027 Enterprise Value</t>
  </si>
  <si>
    <t>2027 Market Cap</t>
  </si>
  <si>
    <t>3-Yr Price Change</t>
  </si>
  <si>
    <t>PV of 2027 Market Cap + FCF</t>
  </si>
  <si>
    <t>Questions to check yourself</t>
  </si>
  <si>
    <t>Analyst Ratings</t>
  </si>
  <si>
    <t>Can I understand the company?</t>
  </si>
  <si>
    <t>No</t>
  </si>
  <si>
    <t>Date</t>
  </si>
  <si>
    <t>Action</t>
  </si>
  <si>
    <t>Analyst</t>
  </si>
  <si>
    <t>Rating</t>
  </si>
  <si>
    <t>Price Target</t>
  </si>
  <si>
    <t>Is revenue growing? Did you sanity check your revenue growth assumptions?</t>
  </si>
  <si>
    <t>Can I predict the earnings/cash flow?</t>
  </si>
  <si>
    <t>Are current earnings/FCF normal, not inflated by temporary tailwinds?</t>
  </si>
  <si>
    <t>Are the company's earnings independent of commodity prices?</t>
  </si>
  <si>
    <t>Is the debt reasonable / is balance sheet healthy?</t>
  </si>
  <si>
    <t>Do the maturities on the debt seem manageable?</t>
  </si>
  <si>
    <t>Does the company put its shareholders first?</t>
  </si>
  <si>
    <t>Other Metrics</t>
  </si>
  <si>
    <t>Does this company have a wide moat? Does this company have any moat?</t>
  </si>
  <si>
    <t>Insider Ownership</t>
  </si>
  <si>
    <t>Has management been good allocators of capital?</t>
  </si>
  <si>
    <t>P/E</t>
  </si>
  <si>
    <t>Insider Ownership Change</t>
  </si>
  <si>
    <t>Is the business safe from low cost overseas competition?</t>
  </si>
  <si>
    <t>P/Tang. Book</t>
  </si>
  <si>
    <t>Institutional ownership</t>
  </si>
  <si>
    <t>Is this company Amazon/Google-proof?</t>
  </si>
  <si>
    <t>P/Adj. OCF</t>
  </si>
  <si>
    <t>Short Interest</t>
  </si>
  <si>
    <t>Can you handle the ugly bear case?</t>
  </si>
  <si>
    <t>P/Adj. FCF</t>
  </si>
  <si>
    <t>Avg Volume / Float</t>
  </si>
  <si>
    <t>Do you think the company is more likely to meet your base case than not?</t>
  </si>
  <si>
    <t>Adj. ROIC</t>
  </si>
  <si>
    <t>1yr - 1m ∆ (Momentum)</t>
  </si>
  <si>
    <t>Price/Earnings</t>
  </si>
  <si>
    <t>Price/ Sales</t>
  </si>
  <si>
    <t>Price/ Cash Flow</t>
  </si>
  <si>
    <t>EV/ EBITDA</t>
  </si>
  <si>
    <t>Sales Growth</t>
  </si>
  <si>
    <t>Earnings Growth</t>
  </si>
  <si>
    <t>Price/ 2026 Sales</t>
  </si>
  <si>
    <t>Price/ 2026 Earnings</t>
  </si>
  <si>
    <r>
      <rPr>
        <rFont val="Arial"/>
      </rPr>
      <t xml:space="preserve">This sheet uses the DVH function from the </t>
    </r>
    <r>
      <rPr>
        <rFont val="Arial"/>
        <b/>
      </rPr>
      <t>Deep Value Hunter Add-On</t>
    </r>
    <r>
      <rPr>
        <rFont val="Arial"/>
      </rPr>
      <t>. Install the Extension from Extensions -&gt; Add-Ons -&gt; Get Add-Ons. Turn Iterative Calculation on in File -&gt; Settings -&gt; Calculation. Enter your ticker in C5 and switch C3 to "</t>
    </r>
    <r>
      <rPr>
        <rFont val="Arial"/>
        <b/>
      </rPr>
      <t>Load</t>
    </r>
    <r>
      <rPr>
        <rFont val="Arial"/>
      </rPr>
      <t>" to get data on your company! After data is loaded switch C3 to "</t>
    </r>
    <r>
      <rPr>
        <rFont val="Arial"/>
        <b/>
      </rPr>
      <t>Static</t>
    </r>
    <r>
      <rPr>
        <rFont val="Arial"/>
      </rPr>
      <t>" to lock the sheet. Use "</t>
    </r>
    <r>
      <rPr>
        <rFont val="Arial"/>
        <b/>
      </rPr>
      <t>Update</t>
    </r>
    <r>
      <rPr>
        <rFont val="Arial"/>
      </rPr>
      <t xml:space="preserve">" to refresh price data.  Get more info at </t>
    </r>
    <r>
      <rPr>
        <rFont val="Arial"/>
        <color rgb="FF1155CC"/>
        <u/>
      </rPr>
      <t>DeepValueHunter.com</t>
    </r>
  </si>
  <si>
    <t>META</t>
  </si>
  <si>
    <t>Foreign Currency to USD Conversion</t>
  </si>
  <si>
    <t>CNY</t>
  </si>
  <si>
    <t>GBP</t>
  </si>
  <si>
    <t>KRW</t>
  </si>
  <si>
    <t>EUR</t>
  </si>
  <si>
    <t>JPY</t>
  </si>
  <si>
    <t>CAD</t>
  </si>
  <si>
    <t>BRL</t>
  </si>
  <si>
    <t>KZT</t>
  </si>
  <si>
    <t>DKK</t>
  </si>
  <si>
    <t>Today</t>
  </si>
  <si>
    <t>*Note conversion values are approximate for each calandar year, there will likely be discrepancies with company reported USD figures, especially if your company's fiscal year does not match the calandar year</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</si>
</sst>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quot;$&quot;#,##0.0"/>
    <numFmt numFmtId="165" formatCode="0.0%"/>
    <numFmt numFmtId="166" formatCode="&quot;$&quot;#,##0"/>
    <numFmt numFmtId="167" formatCode="&quot;$&quot;#,##0.00"/>
    <numFmt numFmtId="168" formatCode="mmm&quot; &quot;d&quot;, &quot;yyyy"/>
    <numFmt numFmtId="169" formatCode="[$$]#,##,,&quot; M&quot;"/>
    <numFmt numFmtId="170" formatCode="0.0"/>
    <numFmt numFmtId="171" formatCode="#,##0,,"/>
    <numFmt numFmtId="172" formatCode="yyyy"/>
    <numFmt numFmtId="173" formatCode="0.00000"/>
    <numFmt numFmtId="174" formatCode="#,##0.0"/>
    <numFmt numFmtId="175" formatCode="mmm-dd-yy"/>
    <numFmt numFmtId="176" formatCode="0.0000"/>
  </numFmts>
  <fonts count="44">
    <font>
      <sz val="10.0"/>
      <color rgb="FF000000"/>
      <name val="Arial"/>
      <scheme val="minor"/>
    </font>
    <font>
      <color theme="1"/>
      <name val="Arial"/>
    </font>
    <font>
      <b/>
      <sz val="19.0"/>
      <color rgb="FFFFFFFF"/>
      <name val="Calibri"/>
    </font>
    <font/>
    <font>
      <color rgb="FFFFFFFF"/>
      <name val="Arial"/>
      <scheme val="minor"/>
    </font>
    <font>
      <color rgb="FFFFFFFF"/>
      <name val="Arial"/>
    </font>
    <font>
      <color theme="1"/>
      <name val="Arial"/>
      <scheme val="minor"/>
    </font>
    <font>
      <b/>
      <sz val="13.0"/>
      <color theme="1"/>
      <name val="Calibri"/>
    </font>
    <font>
      <u/>
      <color rgb="FF0000FF"/>
      <name val="Arial"/>
    </font>
    <font>
      <b/>
      <sz val="36.0"/>
      <color theme="1"/>
      <name val="Calibri"/>
    </font>
    <font>
      <b/>
      <sz val="18.0"/>
      <color theme="1"/>
      <name val="Calibri"/>
    </font>
    <font>
      <sz val="11.0"/>
      <color theme="1"/>
      <name val="Calibri"/>
    </font>
    <font>
      <b/>
      <sz val="11.0"/>
      <color theme="1"/>
      <name val="Calibri"/>
    </font>
    <font>
      <b/>
      <color theme="1"/>
      <name val="Arial"/>
      <scheme val="minor"/>
    </font>
    <font>
      <b/>
      <sz val="17.0"/>
      <color theme="1"/>
      <name val="Calibri"/>
    </font>
    <font>
      <sz val="10.0"/>
      <color theme="0"/>
      <name val="Calibri"/>
    </font>
    <font>
      <b/>
      <color theme="1"/>
      <name val="Arial"/>
    </font>
    <font>
      <sz val="12.0"/>
      <color theme="1"/>
      <name val="Calibri"/>
    </font>
    <font>
      <sz val="13.0"/>
      <color theme="1"/>
      <name val="Calibri"/>
    </font>
    <font>
      <color theme="0"/>
      <name val="Arial"/>
    </font>
    <font>
      <sz val="11.0"/>
      <color theme="0"/>
      <name val="Calibri"/>
    </font>
    <font>
      <color theme="1"/>
      <name val="Calibri"/>
    </font>
    <font>
      <b/>
      <sz val="13.0"/>
      <color rgb="FFFFFFFF"/>
      <name val="Calibri"/>
    </font>
    <font>
      <sz val="10.0"/>
      <color rgb="FFFFFFFF"/>
      <name val="Calibri"/>
    </font>
    <font>
      <sz val="11.0"/>
      <color rgb="FFFFFFFF"/>
      <name val="Calibri"/>
    </font>
    <font>
      <color rgb="FF000000"/>
      <name val="Arial"/>
      <scheme val="minor"/>
    </font>
    <font>
      <b/>
      <sz val="12.0"/>
      <color theme="1"/>
      <name val="Calibri"/>
    </font>
    <font>
      <b/>
      <sz val="16.0"/>
      <color rgb="FFFF9900"/>
      <name val="Arial"/>
    </font>
    <font>
      <b/>
      <sz val="28.0"/>
      <color theme="1"/>
      <name val="Calibri"/>
    </font>
    <font>
      <color rgb="FFFFFFFF"/>
      <name val="Calibri"/>
    </font>
    <font>
      <b/>
      <sz val="19.0"/>
      <color theme="1"/>
      <name val="Calibri"/>
    </font>
    <font>
      <color rgb="FF000000"/>
      <name val="Arial"/>
    </font>
    <font>
      <b/>
      <sz val="15.0"/>
      <color rgb="FFFFFFFF"/>
      <name val="Calibri"/>
    </font>
    <font>
      <b/>
      <sz val="10.0"/>
      <color theme="1"/>
      <name val="Arial"/>
    </font>
    <font>
      <b/>
      <sz val="9.0"/>
      <color theme="1"/>
      <name val="Arial"/>
    </font>
    <font>
      <sz val="10.0"/>
      <color theme="1"/>
      <name val="Calibri"/>
    </font>
    <font>
      <sz val="9.0"/>
      <color theme="1"/>
      <name val="Calibri"/>
    </font>
    <font>
      <sz val="10.0"/>
      <color rgb="FFFFFFFF"/>
      <name val="Arial"/>
    </font>
    <font>
      <sz val="10.0"/>
      <color theme="1"/>
      <name val="Arial"/>
    </font>
    <font>
      <sz val="9.0"/>
      <color theme="1"/>
      <name val="Arial"/>
    </font>
    <font>
      <b/>
      <sz val="14.0"/>
      <color rgb="FFFFFFFF"/>
      <name val="Calibri"/>
    </font>
    <font>
      <b/>
      <sz val="10.0"/>
      <color theme="1"/>
      <name val="Calibri"/>
    </font>
    <font>
      <sz val="9.0"/>
      <color theme="1"/>
      <name val="'Helvetica'"/>
    </font>
    <font>
      <sz val="11.0"/>
      <color rgb="FF1F1F1F"/>
      <name val="Calibri"/>
    </font>
  </fonts>
  <fills count="15">
    <fill>
      <patternFill patternType="none"/>
    </fill>
    <fill>
      <patternFill patternType="lightGray"/>
    </fill>
    <fill>
      <patternFill patternType="solid">
        <fgColor rgb="FF2F5496"/>
        <bgColor rgb="FF2F5496"/>
      </patternFill>
    </fill>
    <fill>
      <patternFill patternType="solid">
        <fgColor rgb="FFB7E1CD"/>
        <bgColor rgb="FFB7E1CD"/>
      </patternFill>
    </fill>
    <fill>
      <patternFill patternType="solid">
        <fgColor rgb="FFFFFFFF"/>
        <bgColor rgb="FFFFFFFF"/>
      </patternFill>
    </fill>
    <fill>
      <patternFill patternType="solid">
        <fgColor rgb="FFFFF2CC"/>
        <bgColor rgb="FFFFF2CC"/>
      </patternFill>
    </fill>
    <fill>
      <patternFill patternType="solid">
        <fgColor theme="7"/>
        <bgColor theme="7"/>
      </patternFill>
    </fill>
    <fill>
      <patternFill patternType="solid">
        <fgColor rgb="FF000000"/>
        <bgColor rgb="FF000000"/>
      </patternFill>
    </fill>
    <fill>
      <patternFill patternType="solid">
        <fgColor rgb="FF0B5394"/>
        <bgColor rgb="FF0B5394"/>
      </patternFill>
    </fill>
    <fill>
      <patternFill patternType="solid">
        <fgColor rgb="FFFCE8B2"/>
        <bgColor rgb="FFFCE8B2"/>
      </patternFill>
    </fill>
    <fill>
      <patternFill patternType="solid">
        <fgColor rgb="FF93C47D"/>
        <bgColor rgb="FF93C47D"/>
      </patternFill>
    </fill>
    <fill>
      <patternFill patternType="solid">
        <fgColor rgb="FFEA9999"/>
        <bgColor rgb="FFEA9999"/>
      </patternFill>
    </fill>
    <fill>
      <patternFill patternType="solid">
        <fgColor rgb="FFB6D7A8"/>
        <bgColor rgb="FFB6D7A8"/>
      </patternFill>
    </fill>
    <fill>
      <patternFill patternType="solid">
        <fgColor rgb="FFCFE2F3"/>
        <bgColor rgb="FFCFE2F3"/>
      </patternFill>
    </fill>
    <fill>
      <patternFill patternType="solid">
        <fgColor rgb="FFE8F0FE"/>
        <bgColor rgb="FFE8F0FE"/>
      </patternFill>
    </fill>
  </fills>
  <borders count="2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0" fillId="0" fontId="4" numFmtId="0" xfId="0" applyFont="1"/>
    <xf borderId="0" fillId="0" fontId="5" numFmtId="0" xfId="0" applyAlignment="1" applyFont="1">
      <alignment vertical="bottom"/>
    </xf>
    <xf borderId="0" fillId="0" fontId="1" numFmtId="0" xfId="0" applyAlignment="1" applyFont="1">
      <alignment readingOrder="0"/>
    </xf>
    <xf borderId="0" fillId="0" fontId="1" numFmtId="0" xfId="0" applyAlignment="1" applyFont="1">
      <alignment readingOrder="0" vertical="bottom"/>
    </xf>
    <xf borderId="0" fillId="0" fontId="6" numFmtId="164" xfId="0" applyAlignment="1" applyFont="1" applyNumberFormat="1">
      <alignment readingOrder="0"/>
    </xf>
    <xf borderId="0" fillId="0" fontId="6" numFmtId="164" xfId="0" applyFont="1" applyNumberFormat="1"/>
    <xf borderId="0" fillId="0" fontId="6" numFmtId="165" xfId="0" applyFont="1" applyNumberFormat="1"/>
    <xf borderId="0" fillId="0" fontId="1" numFmtId="165" xfId="0" applyAlignment="1" applyFont="1" applyNumberFormat="1">
      <alignment vertical="bottom"/>
    </xf>
    <xf borderId="0" fillId="0" fontId="1" numFmtId="166" xfId="0" applyAlignment="1" applyFont="1" applyNumberFormat="1">
      <alignment vertical="bottom"/>
    </xf>
    <xf borderId="0" fillId="0" fontId="1" numFmtId="9" xfId="0" applyAlignment="1" applyFont="1" applyNumberFormat="1">
      <alignment vertical="bottom"/>
    </xf>
    <xf borderId="4" fillId="3" fontId="7" numFmtId="0" xfId="0" applyAlignment="1" applyBorder="1" applyFill="1" applyFont="1">
      <alignment horizontal="center" readingOrder="0" vertical="center"/>
    </xf>
    <xf borderId="0" fillId="0" fontId="8" numFmtId="0" xfId="0" applyAlignment="1" applyFont="1">
      <alignment readingOrder="0" shrinkToFit="0" wrapText="1"/>
    </xf>
    <xf borderId="0" fillId="0" fontId="1" numFmtId="0" xfId="0" applyFont="1"/>
    <xf borderId="5" fillId="0" fontId="9" numFmtId="0" xfId="0" applyAlignment="1" applyBorder="1" applyFont="1">
      <alignment horizontal="center" readingOrder="0" vertical="center"/>
    </xf>
    <xf borderId="6" fillId="0" fontId="3" numFmtId="0" xfId="0" applyBorder="1" applyFont="1"/>
    <xf borderId="7" fillId="0" fontId="3" numFmtId="0" xfId="0" applyBorder="1" applyFont="1"/>
    <xf borderId="5" fillId="0" fontId="10" numFmtId="0" xfId="0" applyAlignment="1" applyBorder="1" applyFont="1">
      <alignment horizontal="center" shrinkToFit="0" vertical="center" wrapText="1"/>
    </xf>
    <xf borderId="6" fillId="0" fontId="11" numFmtId="164" xfId="0" applyAlignment="1" applyBorder="1" applyFont="1" applyNumberFormat="1">
      <alignment horizontal="center" readingOrder="0" vertical="bottom"/>
    </xf>
    <xf borderId="0" fillId="0" fontId="1" numFmtId="11" xfId="0" applyAlignment="1" applyFont="1" applyNumberFormat="1">
      <alignment vertical="bottom"/>
    </xf>
    <xf borderId="0" fillId="0" fontId="12" numFmtId="0" xfId="0" applyAlignment="1" applyFont="1">
      <alignment horizontal="center" vertical="bottom"/>
    </xf>
    <xf borderId="0" fillId="0" fontId="12" numFmtId="11" xfId="0" applyAlignment="1" applyFont="1" applyNumberFormat="1">
      <alignment horizontal="center" vertical="bottom"/>
    </xf>
    <xf borderId="0" fillId="0" fontId="4" numFmtId="11" xfId="0" applyFont="1" applyNumberFormat="1"/>
    <xf borderId="0" fillId="0" fontId="13" numFmtId="0" xfId="0" applyAlignment="1" applyFont="1">
      <alignment readingOrder="0"/>
    </xf>
    <xf borderId="8" fillId="0" fontId="3" numFmtId="0" xfId="0" applyBorder="1" applyFont="1"/>
    <xf borderId="9" fillId="0" fontId="3" numFmtId="0" xfId="0" applyBorder="1" applyFont="1"/>
    <xf borderId="0" fillId="0" fontId="10" numFmtId="167" xfId="0" applyAlignment="1" applyFont="1" applyNumberFormat="1">
      <alignment horizontal="center" vertical="top"/>
    </xf>
    <xf borderId="0" fillId="0" fontId="11" numFmtId="11" xfId="0" applyAlignment="1" applyFont="1" applyNumberFormat="1">
      <alignment horizontal="right" readingOrder="0" vertical="bottom"/>
    </xf>
    <xf borderId="10" fillId="0" fontId="11" numFmtId="164" xfId="0" applyAlignment="1" applyBorder="1" applyFont="1" applyNumberFormat="1">
      <alignment horizontal="center" vertical="bottom"/>
    </xf>
    <xf borderId="11" fillId="0" fontId="11" numFmtId="9" xfId="0" applyAlignment="1" applyBorder="1" applyFont="1" applyNumberFormat="1">
      <alignment horizontal="center" vertical="bottom"/>
    </xf>
    <xf borderId="12" fillId="0" fontId="11" numFmtId="9" xfId="0" applyAlignment="1" applyBorder="1" applyFont="1" applyNumberFormat="1">
      <alignment horizontal="center" vertical="bottom"/>
    </xf>
    <xf borderId="0" fillId="0" fontId="4" numFmtId="9" xfId="0" applyFont="1" applyNumberFormat="1"/>
    <xf borderId="0" fillId="0" fontId="13" numFmtId="10" xfId="0" applyFont="1" applyNumberFormat="1"/>
    <xf borderId="13" fillId="0" fontId="3" numFmtId="0" xfId="0" applyBorder="1" applyFont="1"/>
    <xf borderId="14" fillId="0" fontId="3" numFmtId="0" xfId="0" applyBorder="1" applyFont="1"/>
    <xf borderId="15" fillId="0" fontId="3" numFmtId="0" xfId="0" applyBorder="1" applyFont="1"/>
    <xf borderId="0" fillId="0" fontId="14" numFmtId="0" xfId="0" applyAlignment="1" applyFont="1">
      <alignment horizontal="right"/>
    </xf>
    <xf borderId="0" fillId="0" fontId="11" numFmtId="0" xfId="0" applyAlignment="1" applyFont="1">
      <alignment horizontal="right" readingOrder="0" vertical="bottom"/>
    </xf>
    <xf borderId="16" fillId="0" fontId="11" numFmtId="164" xfId="0" applyAlignment="1" applyBorder="1" applyFont="1" applyNumberFormat="1">
      <alignment horizontal="center" vertical="bottom"/>
    </xf>
    <xf borderId="0" fillId="0" fontId="11" numFmtId="9" xfId="0" applyAlignment="1" applyFont="1" applyNumberFormat="1">
      <alignment horizontal="center" vertical="bottom"/>
    </xf>
    <xf borderId="17" fillId="0" fontId="11" numFmtId="9" xfId="0" applyAlignment="1" applyBorder="1" applyFont="1" applyNumberFormat="1">
      <alignment horizontal="center" vertical="bottom"/>
    </xf>
    <xf borderId="16" fillId="0" fontId="11" numFmtId="0" xfId="0" applyAlignment="1" applyBorder="1" applyFont="1">
      <alignment readingOrder="0" vertical="center"/>
    </xf>
    <xf borderId="0" fillId="0" fontId="12" numFmtId="168" xfId="0" applyAlignment="1" applyFont="1" applyNumberFormat="1">
      <alignment horizontal="right" readingOrder="0" vertical="center"/>
    </xf>
    <xf borderId="17" fillId="0" fontId="3" numFmtId="0" xfId="0" applyBorder="1" applyFont="1"/>
    <xf borderId="0" fillId="0" fontId="15" numFmtId="0" xfId="0" applyAlignment="1" applyFont="1">
      <alignment horizontal="left" shrinkToFit="0" vertical="top" wrapText="1"/>
    </xf>
    <xf borderId="0" fillId="0" fontId="6" numFmtId="0" xfId="0" applyAlignment="1" applyFont="1">
      <alignment readingOrder="0"/>
    </xf>
    <xf borderId="0" fillId="0" fontId="6" numFmtId="11" xfId="0" applyFont="1" applyNumberFormat="1"/>
    <xf borderId="18" fillId="0" fontId="11" numFmtId="164" xfId="0" applyAlignment="1" applyBorder="1" applyFont="1" applyNumberFormat="1">
      <alignment horizontal="center" vertical="bottom"/>
    </xf>
    <xf borderId="19" fillId="0" fontId="11" numFmtId="9" xfId="0" applyAlignment="1" applyBorder="1" applyFont="1" applyNumberFormat="1">
      <alignment horizontal="center" vertical="bottom"/>
    </xf>
    <xf borderId="20" fillId="0" fontId="11" numFmtId="9" xfId="0" applyAlignment="1" applyBorder="1" applyFont="1" applyNumberFormat="1">
      <alignment horizontal="center" vertical="bottom"/>
    </xf>
    <xf borderId="16" fillId="0" fontId="11" numFmtId="0" xfId="0" applyAlignment="1" applyBorder="1" applyFont="1">
      <alignment vertical="center"/>
    </xf>
    <xf borderId="0" fillId="0" fontId="11" numFmtId="169" xfId="0" applyAlignment="1" applyFont="1" applyNumberFormat="1">
      <alignment horizontal="right" vertical="center"/>
    </xf>
    <xf borderId="18" fillId="0" fontId="11" numFmtId="0" xfId="0" applyAlignment="1" applyBorder="1" applyFont="1">
      <alignment horizontal="center" vertical="bottom"/>
    </xf>
    <xf borderId="0" fillId="0" fontId="1" numFmtId="164" xfId="0" applyAlignment="1" applyFont="1" applyNumberFormat="1">
      <alignment vertical="bottom"/>
    </xf>
    <xf borderId="0" fillId="4" fontId="1" numFmtId="164" xfId="0" applyAlignment="1" applyFill="1" applyFont="1" applyNumberFormat="1">
      <alignment vertical="bottom"/>
    </xf>
    <xf borderId="0" fillId="0" fontId="16" numFmtId="0" xfId="0" applyAlignment="1" applyFont="1">
      <alignment vertical="bottom"/>
    </xf>
    <xf borderId="0" fillId="0" fontId="4" numFmtId="164" xfId="0" applyFont="1" applyNumberFormat="1"/>
    <xf borderId="17" fillId="0" fontId="11" numFmtId="170" xfId="0" applyAlignment="1" applyBorder="1" applyFont="1" applyNumberFormat="1">
      <alignment horizontal="center" vertical="center"/>
    </xf>
    <xf borderId="0" fillId="0" fontId="11" numFmtId="11" xfId="0" applyAlignment="1" applyFont="1" applyNumberFormat="1">
      <alignment horizontal="center" vertical="bottom"/>
    </xf>
    <xf borderId="0" fillId="0" fontId="1" numFmtId="164" xfId="0" applyAlignment="1" applyFont="1" applyNumberFormat="1">
      <alignment vertical="top"/>
    </xf>
    <xf borderId="17" fillId="0" fontId="11" numFmtId="0" xfId="0" applyAlignment="1" applyBorder="1" applyFont="1">
      <alignment horizontal="right" vertical="bottom"/>
    </xf>
    <xf borderId="0" fillId="0" fontId="11" numFmtId="0" xfId="0" applyAlignment="1" applyFont="1">
      <alignment horizontal="right" vertical="bottom"/>
    </xf>
    <xf borderId="10" fillId="0" fontId="11" numFmtId="9" xfId="0" applyAlignment="1" applyBorder="1" applyFont="1" applyNumberFormat="1">
      <alignment horizontal="center" readingOrder="0" vertical="bottom"/>
    </xf>
    <xf borderId="11" fillId="0" fontId="11" numFmtId="9" xfId="0" applyAlignment="1" applyBorder="1" applyFont="1" applyNumberFormat="1">
      <alignment horizontal="center" readingOrder="0" vertical="bottom"/>
    </xf>
    <xf borderId="12" fillId="0" fontId="11" numFmtId="9" xfId="0" applyAlignment="1" applyBorder="1" applyFont="1" applyNumberFormat="1">
      <alignment horizontal="center" readingOrder="0" vertical="bottom"/>
    </xf>
    <xf borderId="0" fillId="0" fontId="12" numFmtId="0" xfId="0" applyAlignment="1" applyFont="1">
      <alignment horizontal="right" vertical="bottom"/>
    </xf>
    <xf borderId="19" fillId="0" fontId="11" numFmtId="164" xfId="0" applyAlignment="1" applyBorder="1" applyFont="1" applyNumberFormat="1">
      <alignment horizontal="center" vertical="bottom"/>
    </xf>
    <xf borderId="20" fillId="0" fontId="11" numFmtId="164" xfId="0" applyAlignment="1" applyBorder="1" applyFont="1" applyNumberFormat="1">
      <alignment horizontal="center" vertical="bottom"/>
    </xf>
    <xf borderId="17" fillId="0" fontId="11" numFmtId="165" xfId="0" applyAlignment="1" applyBorder="1" applyFont="1" applyNumberFormat="1">
      <alignment horizontal="center" vertical="center"/>
    </xf>
    <xf borderId="0" fillId="0" fontId="5" numFmtId="164" xfId="0" applyAlignment="1" applyFont="1" applyNumberFormat="1">
      <alignment vertical="top"/>
    </xf>
    <xf borderId="10" fillId="0" fontId="7" numFmtId="0" xfId="0" applyAlignment="1" applyBorder="1" applyFont="1">
      <alignment horizontal="center" readingOrder="0" shrinkToFit="0" wrapText="1"/>
    </xf>
    <xf borderId="11" fillId="0" fontId="3" numFmtId="0" xfId="0" applyBorder="1" applyFont="1"/>
    <xf borderId="12" fillId="0" fontId="3" numFmtId="0" xfId="0" applyBorder="1" applyFont="1"/>
    <xf borderId="10" fillId="0" fontId="17" numFmtId="166" xfId="0" applyAlignment="1" applyBorder="1" applyFont="1" applyNumberFormat="1">
      <alignment horizontal="center" readingOrder="0" vertical="bottom"/>
    </xf>
    <xf borderId="11" fillId="0" fontId="17" numFmtId="166" xfId="0" applyAlignment="1" applyBorder="1" applyFont="1" applyNumberFormat="1">
      <alignment horizontal="center" readingOrder="0" vertical="bottom"/>
    </xf>
    <xf borderId="21" fillId="0" fontId="17" numFmtId="166" xfId="0" applyAlignment="1" applyBorder="1" applyFont="1" applyNumberFormat="1">
      <alignment horizontal="center" readingOrder="0" vertical="bottom"/>
    </xf>
    <xf borderId="12" fillId="0" fontId="17" numFmtId="166" xfId="0" applyAlignment="1" applyBorder="1" applyFont="1" applyNumberFormat="1">
      <alignment horizontal="center" readingOrder="0" vertical="bottom"/>
    </xf>
    <xf borderId="0" fillId="0" fontId="4" numFmtId="166" xfId="0" applyAlignment="1" applyFont="1" applyNumberFormat="1">
      <alignment readingOrder="0"/>
    </xf>
    <xf borderId="0" fillId="0" fontId="4" numFmtId="171" xfId="0" applyFont="1" applyNumberFormat="1"/>
    <xf borderId="18" fillId="0" fontId="11" numFmtId="0" xfId="0" applyAlignment="1" applyBorder="1" applyFont="1">
      <alignment readingOrder="0" vertical="center"/>
    </xf>
    <xf borderId="19" fillId="0" fontId="6" numFmtId="0" xfId="0" applyBorder="1" applyFont="1"/>
    <xf borderId="20" fillId="5" fontId="12" numFmtId="0" xfId="0" applyAlignment="1" applyBorder="1" applyFill="1" applyFont="1">
      <alignment horizontal="center" readingOrder="0" shrinkToFit="0" vertical="center" wrapText="1"/>
    </xf>
    <xf borderId="19" fillId="0" fontId="3" numFmtId="0" xfId="0" applyBorder="1" applyFont="1"/>
    <xf borderId="20" fillId="0" fontId="3" numFmtId="0" xfId="0" applyBorder="1" applyFont="1"/>
    <xf borderId="18" fillId="4" fontId="18" numFmtId="9" xfId="0" applyAlignment="1" applyBorder="1" applyFont="1" applyNumberFormat="1">
      <alignment horizontal="center" vertical="bottom"/>
    </xf>
    <xf borderId="19" fillId="4" fontId="18" numFmtId="9" xfId="0" applyAlignment="1" applyBorder="1" applyFont="1" applyNumberFormat="1">
      <alignment horizontal="center" vertical="bottom"/>
    </xf>
    <xf borderId="22" fillId="4" fontId="18" numFmtId="9" xfId="0" applyAlignment="1" applyBorder="1" applyFont="1" applyNumberFormat="1">
      <alignment horizontal="center" vertical="bottom"/>
    </xf>
    <xf borderId="20" fillId="4" fontId="18" numFmtId="9" xfId="0" applyAlignment="1" applyBorder="1" applyFont="1" applyNumberFormat="1">
      <alignment horizontal="center" vertical="bottom"/>
    </xf>
    <xf borderId="0" fillId="0" fontId="19" numFmtId="0" xfId="0" applyFont="1"/>
    <xf borderId="0" fillId="0" fontId="20" numFmtId="0" xfId="0" applyAlignment="1" applyFont="1">
      <alignment horizontal="center"/>
    </xf>
    <xf borderId="0" fillId="0" fontId="20" numFmtId="166" xfId="0" applyAlignment="1" applyFont="1" applyNumberFormat="1">
      <alignment horizontal="center"/>
    </xf>
    <xf borderId="0" fillId="0" fontId="4" numFmtId="166" xfId="0" applyFont="1" applyNumberFormat="1"/>
    <xf borderId="0" fillId="0" fontId="5" numFmtId="166" xfId="0" applyAlignment="1" applyFont="1" applyNumberFormat="1">
      <alignment vertical="bottom"/>
    </xf>
    <xf borderId="0" fillId="4" fontId="5" numFmtId="0" xfId="0" applyAlignment="1" applyFont="1">
      <alignment vertical="bottom"/>
    </xf>
    <xf borderId="0" fillId="0" fontId="21" numFmtId="0" xfId="0" applyAlignment="1" applyFont="1">
      <alignment horizontal="center" vertical="bottom"/>
    </xf>
    <xf borderId="0" fillId="0" fontId="1" numFmtId="171" xfId="0" applyAlignment="1" applyFont="1" applyNumberFormat="1">
      <alignment vertical="bottom"/>
    </xf>
    <xf borderId="0" fillId="4" fontId="1" numFmtId="0" xfId="0" applyAlignment="1" applyFont="1">
      <alignment vertical="bottom"/>
    </xf>
    <xf borderId="0" fillId="0" fontId="7" numFmtId="0" xfId="0" applyAlignment="1" applyFont="1">
      <alignment horizontal="center" readingOrder="0" shrinkToFit="0" vertical="center" wrapText="1"/>
    </xf>
    <xf borderId="0" fillId="0" fontId="4" numFmtId="172" xfId="0" applyFont="1" applyNumberFormat="1"/>
    <xf borderId="0" fillId="0" fontId="1" numFmtId="0" xfId="0" applyAlignment="1" applyFont="1">
      <alignment vertical="center"/>
    </xf>
    <xf borderId="0" fillId="5" fontId="7" numFmtId="0" xfId="0" applyAlignment="1" applyFont="1">
      <alignment horizontal="center" readingOrder="0" shrinkToFit="0" vertical="center" wrapText="1"/>
    </xf>
    <xf borderId="19" fillId="0" fontId="1" numFmtId="0" xfId="0" applyAlignment="1" applyBorder="1" applyFont="1">
      <alignment readingOrder="0" vertical="center"/>
    </xf>
    <xf borderId="18" fillId="0" fontId="7" numFmtId="0" xfId="0" applyAlignment="1" applyBorder="1" applyFont="1">
      <alignment horizontal="center" readingOrder="0" shrinkToFit="0" vertical="center" wrapText="1"/>
    </xf>
    <xf borderId="19" fillId="0" fontId="7" numFmtId="0" xfId="0" applyAlignment="1" applyBorder="1" applyFont="1">
      <alignment horizontal="center" shrinkToFit="0" vertical="center" wrapText="1"/>
    </xf>
    <xf borderId="19" fillId="0" fontId="7" numFmtId="0" xfId="0" applyAlignment="1" applyBorder="1" applyFont="1">
      <alignment horizontal="center" readingOrder="0" shrinkToFit="0" vertical="center" wrapText="1"/>
    </xf>
    <xf borderId="0" fillId="0" fontId="22" numFmtId="0" xfId="0" applyAlignment="1" applyFont="1">
      <alignment horizontal="center" readingOrder="0" shrinkToFit="0" vertical="center" wrapText="0"/>
    </xf>
    <xf borderId="0" fillId="0" fontId="22" numFmtId="0" xfId="0" applyAlignment="1" applyFont="1">
      <alignment horizontal="center" shrinkToFit="0" vertical="center" wrapText="0"/>
    </xf>
    <xf borderId="0" fillId="0" fontId="4" numFmtId="172" xfId="0" applyAlignment="1" applyFont="1" applyNumberFormat="1">
      <alignment vertical="center"/>
    </xf>
    <xf borderId="0" fillId="0" fontId="4" numFmtId="166" xfId="0" applyAlignment="1" applyFont="1" applyNumberFormat="1">
      <alignment vertical="center"/>
    </xf>
    <xf borderId="0" fillId="0" fontId="23" numFmtId="0" xfId="0" applyAlignment="1" applyFont="1">
      <alignment horizontal="center" vertical="bottom"/>
    </xf>
    <xf borderId="0" fillId="0" fontId="21" numFmtId="173" xfId="0" applyAlignment="1" applyFont="1" applyNumberFormat="1">
      <alignment horizontal="center" readingOrder="0" vertical="bottom"/>
    </xf>
    <xf borderId="17" fillId="0" fontId="12" numFmtId="0" xfId="0" applyAlignment="1" applyBorder="1" applyFont="1">
      <alignment horizontal="center" vertical="bottom"/>
    </xf>
    <xf borderId="0" fillId="0" fontId="11" numFmtId="171" xfId="0" applyAlignment="1" applyFont="1" applyNumberFormat="1">
      <alignment horizontal="center" vertical="bottom"/>
    </xf>
    <xf borderId="0" fillId="0" fontId="1" numFmtId="165" xfId="0" applyAlignment="1" applyFont="1" applyNumberFormat="1">
      <alignment vertical="bottom"/>
    </xf>
    <xf borderId="0" fillId="0" fontId="11" numFmtId="165" xfId="0" applyAlignment="1" applyFont="1" applyNumberFormat="1">
      <alignment horizontal="center" vertical="bottom"/>
    </xf>
    <xf borderId="0" fillId="0" fontId="11" numFmtId="174" xfId="0" applyAlignment="1" applyFont="1" applyNumberFormat="1">
      <alignment horizontal="center" vertical="bottom"/>
    </xf>
    <xf borderId="0" fillId="0" fontId="24" numFmtId="171" xfId="0" applyAlignment="1" applyFont="1" applyNumberFormat="1">
      <alignment horizontal="center" vertical="bottom"/>
    </xf>
    <xf borderId="0" fillId="0" fontId="24" numFmtId="165" xfId="0" applyAlignment="1" applyFont="1" applyNumberFormat="1">
      <alignment horizontal="center" vertical="bottom"/>
    </xf>
    <xf borderId="17" fillId="0" fontId="12" numFmtId="0" xfId="0" applyAlignment="1" applyBorder="1" applyFont="1">
      <alignment horizontal="center" readingOrder="0" vertical="bottom"/>
    </xf>
    <xf borderId="0" fillId="0" fontId="25" numFmtId="172" xfId="0" applyAlignment="1" applyFont="1" applyNumberFormat="1">
      <alignment horizontal="right"/>
    </xf>
    <xf borderId="0" fillId="0" fontId="25" numFmtId="166" xfId="0" applyAlignment="1" applyFont="1" applyNumberFormat="1">
      <alignment horizontal="right"/>
    </xf>
    <xf borderId="12" fillId="0" fontId="26" numFmtId="0" xfId="0" applyAlignment="1" applyBorder="1" applyFont="1">
      <alignment horizontal="right" vertical="bottom"/>
    </xf>
    <xf borderId="11" fillId="0" fontId="26" numFmtId="165" xfId="0" applyAlignment="1" applyBorder="1" applyFont="1" applyNumberFormat="1">
      <alignment horizontal="center" vertical="bottom"/>
    </xf>
    <xf borderId="11" fillId="6" fontId="26" numFmtId="165" xfId="0" applyAlignment="1" applyBorder="1" applyFill="1" applyFont="1" applyNumberFormat="1">
      <alignment horizontal="center" vertical="bottom"/>
    </xf>
    <xf borderId="11" fillId="0" fontId="26" numFmtId="174" xfId="0" applyAlignment="1" applyBorder="1" applyFont="1" applyNumberFormat="1">
      <alignment horizontal="center" vertical="bottom"/>
    </xf>
    <xf borderId="11" fillId="6" fontId="26" numFmtId="174" xfId="0" applyAlignment="1" applyBorder="1" applyFont="1" applyNumberFormat="1">
      <alignment horizontal="center" vertical="bottom"/>
    </xf>
    <xf borderId="0" fillId="0" fontId="24" numFmtId="171" xfId="0" applyAlignment="1" applyFont="1" applyNumberFormat="1">
      <alignment horizontal="center" vertical="bottom"/>
    </xf>
    <xf borderId="0" fillId="0" fontId="4" numFmtId="165" xfId="0" applyFont="1" applyNumberFormat="1"/>
    <xf borderId="0" fillId="0" fontId="25" numFmtId="172" xfId="0" applyFont="1" applyNumberFormat="1"/>
    <xf borderId="0" fillId="0" fontId="25" numFmtId="166" xfId="0" applyFont="1" applyNumberFormat="1"/>
    <xf borderId="23" fillId="0" fontId="21" numFmtId="0" xfId="0" applyAlignment="1" applyBorder="1" applyFont="1">
      <alignment horizontal="center" vertical="bottom"/>
    </xf>
    <xf borderId="0" fillId="7" fontId="27" numFmtId="0" xfId="0" applyAlignment="1" applyFill="1" applyFont="1">
      <alignment horizontal="center" readingOrder="0" vertical="center"/>
    </xf>
    <xf borderId="24" fillId="0" fontId="3" numFmtId="0" xfId="0" applyBorder="1" applyFont="1"/>
    <xf borderId="25" fillId="0" fontId="3" numFmtId="0" xfId="0" applyBorder="1" applyFont="1"/>
    <xf borderId="1" fillId="8" fontId="2" numFmtId="0" xfId="0" applyAlignment="1" applyBorder="1" applyFill="1" applyFont="1">
      <alignment horizontal="center" readingOrder="0" vertical="center"/>
    </xf>
    <xf borderId="23" fillId="0" fontId="1" numFmtId="0" xfId="0" applyAlignment="1" applyBorder="1" applyFont="1">
      <alignment vertical="bottom"/>
    </xf>
    <xf borderId="10" fillId="0" fontId="26" numFmtId="0" xfId="0" applyAlignment="1" applyBorder="1" applyFont="1">
      <alignment horizontal="center" shrinkToFit="0" vertical="center" wrapText="1"/>
    </xf>
    <xf borderId="11" fillId="0" fontId="26" numFmtId="0" xfId="0" applyAlignment="1" applyBorder="1" applyFont="1">
      <alignment horizontal="center" readingOrder="0" shrinkToFit="0" vertical="center" wrapText="1"/>
    </xf>
    <xf borderId="12" fillId="0" fontId="26" numFmtId="0" xfId="0" applyAlignment="1" applyBorder="1" applyFont="1">
      <alignment horizontal="center" readingOrder="0" shrinkToFit="0" vertical="center" wrapText="1"/>
    </xf>
    <xf borderId="11" fillId="0" fontId="12" numFmtId="0" xfId="0" applyAlignment="1" applyBorder="1" applyFont="1">
      <alignment horizontal="right" vertical="bottom"/>
    </xf>
    <xf borderId="23" fillId="9" fontId="12" numFmtId="174" xfId="0" applyAlignment="1" applyBorder="1" applyFill="1" applyFont="1" applyNumberFormat="1">
      <alignment horizontal="center" readingOrder="0" vertical="bottom"/>
    </xf>
    <xf borderId="11" fillId="0" fontId="1" numFmtId="0" xfId="0" applyAlignment="1" applyBorder="1" applyFont="1">
      <alignment vertical="bottom"/>
    </xf>
    <xf borderId="11" fillId="0" fontId="28" numFmtId="0" xfId="0" applyAlignment="1" applyBorder="1" applyFont="1">
      <alignment horizontal="center" vertical="center"/>
    </xf>
    <xf borderId="12" fillId="0" fontId="28" numFmtId="0" xfId="0" applyAlignment="1" applyBorder="1" applyFont="1">
      <alignment horizontal="center" vertical="center"/>
    </xf>
    <xf borderId="2" fillId="5" fontId="7" numFmtId="10" xfId="0" applyAlignment="1" applyBorder="1" applyFont="1" applyNumberFormat="1">
      <alignment horizontal="center" shrinkToFit="0" vertical="center" wrapText="1"/>
    </xf>
    <xf borderId="2" fillId="5" fontId="7" numFmtId="0" xfId="0" applyAlignment="1" applyBorder="1" applyFont="1">
      <alignment horizontal="center" readingOrder="0" shrinkToFit="0" vertical="center" wrapText="1"/>
    </xf>
    <xf borderId="3" fillId="5" fontId="7" numFmtId="10" xfId="0" applyAlignment="1" applyBorder="1" applyFont="1" applyNumberFormat="1">
      <alignment horizontal="center" shrinkToFit="0" vertical="center" wrapText="1"/>
    </xf>
    <xf borderId="0" fillId="0" fontId="4" numFmtId="0" xfId="0" applyAlignment="1" applyFont="1">
      <alignment readingOrder="0"/>
    </xf>
    <xf borderId="18" fillId="0" fontId="3" numFmtId="0" xfId="0" applyBorder="1" applyFont="1"/>
    <xf borderId="24" fillId="0" fontId="12" numFmtId="171" xfId="0" applyAlignment="1" applyBorder="1" applyFont="1" applyNumberFormat="1">
      <alignment horizontal="center" vertical="bottom"/>
    </xf>
    <xf borderId="0" fillId="5" fontId="7" numFmtId="0" xfId="0" applyAlignment="1" applyFont="1">
      <alignment horizontal="center" shrinkToFit="0" vertical="center" wrapText="1"/>
    </xf>
    <xf borderId="0" fillId="0" fontId="29" numFmtId="0" xfId="0" applyAlignment="1" applyFont="1">
      <alignment horizontal="right" vertical="bottom"/>
    </xf>
    <xf borderId="24" fillId="0" fontId="12" numFmtId="0" xfId="0" applyAlignment="1" applyBorder="1" applyFont="1">
      <alignment horizontal="center" readingOrder="0" vertical="bottom"/>
    </xf>
    <xf borderId="0" fillId="0" fontId="11" numFmtId="171" xfId="0" applyAlignment="1" applyFont="1" applyNumberFormat="1">
      <alignment horizontal="center" vertical="bottom"/>
    </xf>
    <xf borderId="0" fillId="9" fontId="11" numFmtId="165" xfId="0" applyAlignment="1" applyFont="1" applyNumberFormat="1">
      <alignment horizontal="center" readingOrder="0" vertical="bottom"/>
    </xf>
    <xf borderId="11" fillId="9" fontId="11" numFmtId="165" xfId="0" applyAlignment="1" applyBorder="1" applyFont="1" applyNumberFormat="1">
      <alignment horizontal="center" readingOrder="0" vertical="bottom"/>
    </xf>
    <xf borderId="17" fillId="0" fontId="11" numFmtId="171" xfId="0" applyAlignment="1" applyBorder="1" applyFont="1" applyNumberFormat="1">
      <alignment horizontal="center" vertical="bottom"/>
    </xf>
    <xf borderId="0" fillId="0" fontId="26" numFmtId="0" xfId="0" applyAlignment="1" applyFont="1">
      <alignment horizontal="center" shrinkToFit="0" vertical="center" wrapText="1"/>
    </xf>
    <xf borderId="17" fillId="0" fontId="30" numFmtId="164" xfId="0" applyAlignment="1" applyBorder="1" applyFont="1" applyNumberFormat="1">
      <alignment horizontal="center" vertical="center"/>
    </xf>
    <xf borderId="17" fillId="5" fontId="7" numFmtId="0" xfId="0" applyAlignment="1" applyBorder="1" applyFont="1">
      <alignment horizontal="center" shrinkToFit="0" vertical="center" wrapText="1"/>
    </xf>
    <xf borderId="24" fillId="0" fontId="12" numFmtId="0" xfId="0" applyAlignment="1" applyBorder="1" applyFont="1">
      <alignment horizontal="center" vertical="bottom"/>
    </xf>
    <xf borderId="0" fillId="4" fontId="11" numFmtId="165" xfId="0" applyAlignment="1" applyFont="1" applyNumberFormat="1">
      <alignment horizontal="center" readingOrder="0" vertical="bottom"/>
    </xf>
    <xf borderId="0" fillId="4" fontId="11" numFmtId="171" xfId="0" applyAlignment="1" applyFont="1" applyNumberFormat="1">
      <alignment horizontal="center" vertical="bottom"/>
    </xf>
    <xf borderId="0" fillId="4" fontId="11" numFmtId="165" xfId="0" applyAlignment="1" applyFont="1" applyNumberFormat="1">
      <alignment horizontal="center" vertical="bottom"/>
    </xf>
    <xf borderId="24" fillId="9" fontId="12" numFmtId="3" xfId="0" applyAlignment="1" applyBorder="1" applyFont="1" applyNumberFormat="1">
      <alignment horizontal="center" readingOrder="0" vertical="bottom"/>
    </xf>
    <xf borderId="2" fillId="5" fontId="7" numFmtId="166" xfId="0" applyAlignment="1" applyBorder="1" applyFont="1" applyNumberFormat="1">
      <alignment horizontal="center" shrinkToFit="0" vertical="center" wrapText="1"/>
    </xf>
    <xf borderId="3" fillId="5" fontId="7" numFmtId="166" xfId="0" applyAlignment="1" applyBorder="1" applyFont="1" applyNumberFormat="1">
      <alignment horizontal="center" shrinkToFit="0" vertical="center" wrapText="1"/>
    </xf>
    <xf borderId="0" fillId="10" fontId="11" numFmtId="165" xfId="0" applyAlignment="1" applyFill="1" applyFont="1" applyNumberFormat="1">
      <alignment horizontal="center" readingOrder="0" vertical="bottom"/>
    </xf>
    <xf borderId="24" fillId="9" fontId="12" numFmtId="9" xfId="0" applyAlignment="1" applyBorder="1" applyFont="1" applyNumberFormat="1">
      <alignment horizontal="center" vertical="bottom"/>
    </xf>
    <xf borderId="17" fillId="0" fontId="30" numFmtId="165" xfId="0" applyAlignment="1" applyBorder="1" applyFont="1" applyNumberFormat="1">
      <alignment horizontal="center" vertical="center"/>
    </xf>
    <xf borderId="0" fillId="0" fontId="31" numFmtId="172" xfId="0" applyAlignment="1" applyFont="1" applyNumberFormat="1">
      <alignment vertical="bottom"/>
    </xf>
    <xf borderId="0" fillId="0" fontId="31" numFmtId="166" xfId="0" applyAlignment="1" applyFont="1" applyNumberFormat="1">
      <alignment vertical="bottom"/>
    </xf>
    <xf borderId="25" fillId="0" fontId="12" numFmtId="0" xfId="0" applyAlignment="1" applyBorder="1" applyFont="1">
      <alignment horizontal="center" vertical="bottom"/>
    </xf>
    <xf borderId="19" fillId="0" fontId="11" numFmtId="171" xfId="0" applyAlignment="1" applyBorder="1" applyFont="1" applyNumberFormat="1">
      <alignment horizontal="center" vertical="bottom"/>
    </xf>
    <xf borderId="19" fillId="10" fontId="11" numFmtId="165" xfId="0" applyAlignment="1" applyBorder="1" applyFont="1" applyNumberFormat="1">
      <alignment horizontal="center" readingOrder="0" vertical="bottom"/>
    </xf>
    <xf borderId="19" fillId="4" fontId="11" numFmtId="171" xfId="0" applyAlignment="1" applyBorder="1" applyFont="1" applyNumberFormat="1">
      <alignment horizontal="center" vertical="bottom"/>
    </xf>
    <xf borderId="19" fillId="4" fontId="11" numFmtId="165" xfId="0" applyAlignment="1" applyBorder="1" applyFont="1" applyNumberFormat="1">
      <alignment horizontal="center" vertical="bottom"/>
    </xf>
    <xf borderId="19" fillId="4" fontId="11" numFmtId="165" xfId="0" applyAlignment="1" applyBorder="1" applyFont="1" applyNumberFormat="1">
      <alignment horizontal="center" readingOrder="0" vertical="bottom"/>
    </xf>
    <xf borderId="20" fillId="0" fontId="11" numFmtId="171" xfId="0" applyAlignment="1" applyBorder="1" applyFont="1" applyNumberFormat="1">
      <alignment horizontal="center" vertical="bottom"/>
    </xf>
    <xf borderId="19" fillId="0" fontId="12" numFmtId="0" xfId="0" applyAlignment="1" applyBorder="1" applyFont="1">
      <alignment horizontal="right" readingOrder="0" vertical="bottom"/>
    </xf>
    <xf borderId="25" fillId="0" fontId="12" numFmtId="171" xfId="0" applyAlignment="1" applyBorder="1" applyFont="1" applyNumberFormat="1">
      <alignment horizontal="center" vertical="bottom"/>
    </xf>
    <xf borderId="19" fillId="0" fontId="1" numFmtId="0" xfId="0" applyAlignment="1" applyBorder="1" applyFont="1">
      <alignment vertical="bottom"/>
    </xf>
    <xf borderId="2" fillId="5" fontId="7" numFmtId="0" xfId="0" applyAlignment="1" applyBorder="1" applyFont="1">
      <alignment horizontal="center" shrinkToFit="0" vertical="center" wrapText="1"/>
    </xf>
    <xf borderId="3" fillId="5" fontId="7" numFmtId="0" xfId="0" applyAlignment="1" applyBorder="1" applyFont="1">
      <alignment horizontal="center" shrinkToFit="0" vertical="center" wrapText="1"/>
    </xf>
    <xf borderId="23" fillId="9" fontId="12" numFmtId="0" xfId="0" applyAlignment="1" applyBorder="1" applyFont="1">
      <alignment horizontal="center" readingOrder="0" vertical="bottom"/>
    </xf>
    <xf borderId="11" fillId="0" fontId="28" numFmtId="165" xfId="0" applyAlignment="1" applyBorder="1" applyFont="1" applyNumberFormat="1">
      <alignment horizontal="center"/>
    </xf>
    <xf borderId="12" fillId="0" fontId="28" numFmtId="9" xfId="0" applyAlignment="1" applyBorder="1" applyFont="1" applyNumberFormat="1">
      <alignment horizontal="center" vertical="center"/>
    </xf>
    <xf borderId="2" fillId="11" fontId="7" numFmtId="10" xfId="0" applyAlignment="1" applyBorder="1" applyFill="1" applyFont="1" applyNumberFormat="1">
      <alignment horizontal="center" shrinkToFit="0" vertical="center" wrapText="1"/>
    </xf>
    <xf borderId="2" fillId="11" fontId="7" numFmtId="0" xfId="0" applyAlignment="1" applyBorder="1" applyFont="1">
      <alignment horizontal="center" readingOrder="0" shrinkToFit="0" vertical="center" wrapText="1"/>
    </xf>
    <xf borderId="3" fillId="11" fontId="7" numFmtId="10" xfId="0" applyAlignment="1" applyBorder="1" applyFont="1" applyNumberFormat="1">
      <alignment horizontal="center" shrinkToFit="0" vertical="center" wrapText="1"/>
    </xf>
    <xf borderId="11" fillId="11" fontId="7" numFmtId="0" xfId="0" applyAlignment="1" applyBorder="1" applyFont="1">
      <alignment horizontal="center" readingOrder="0" shrinkToFit="0" vertical="center" wrapText="1"/>
    </xf>
    <xf borderId="0" fillId="11" fontId="7" numFmtId="0" xfId="0" applyAlignment="1" applyFont="1">
      <alignment horizontal="center" readingOrder="0" shrinkToFit="0" vertical="center" wrapText="1"/>
    </xf>
    <xf borderId="17" fillId="11" fontId="7" numFmtId="0" xfId="0" applyAlignment="1" applyBorder="1" applyFont="1">
      <alignment horizontal="center" readingOrder="0" shrinkToFit="0" vertical="center" wrapText="1"/>
    </xf>
    <xf borderId="0" fillId="0" fontId="1" numFmtId="167" xfId="0" applyAlignment="1" applyFont="1" applyNumberFormat="1">
      <alignment vertical="bottom"/>
    </xf>
    <xf borderId="2" fillId="11" fontId="7" numFmtId="166" xfId="0" applyAlignment="1" applyBorder="1" applyFont="1" applyNumberFormat="1">
      <alignment horizontal="center" shrinkToFit="0" vertical="center" wrapText="1"/>
    </xf>
    <xf borderId="3" fillId="11" fontId="7" numFmtId="166" xfId="0" applyAlignment="1" applyBorder="1" applyFont="1" applyNumberFormat="1">
      <alignment horizontal="center" shrinkToFit="0" vertical="center" wrapText="1"/>
    </xf>
    <xf borderId="0" fillId="0" fontId="26" numFmtId="2" xfId="0" applyAlignment="1" applyFont="1" applyNumberFormat="1">
      <alignment horizontal="center" shrinkToFit="0" vertical="center" wrapText="1"/>
    </xf>
    <xf borderId="19" fillId="0" fontId="12" numFmtId="0" xfId="0" applyAlignment="1" applyBorder="1" applyFont="1">
      <alignment horizontal="right" vertical="bottom"/>
    </xf>
    <xf borderId="19" fillId="0" fontId="1" numFmtId="165" xfId="0" applyAlignment="1" applyBorder="1" applyFont="1" applyNumberFormat="1">
      <alignment vertical="bottom"/>
    </xf>
    <xf borderId="2" fillId="11" fontId="7" numFmtId="0" xfId="0" applyAlignment="1" applyBorder="1" applyFont="1">
      <alignment horizontal="center" shrinkToFit="0" vertical="center" wrapText="1"/>
    </xf>
    <xf borderId="3" fillId="11" fontId="7" numFmtId="0" xfId="0" applyAlignment="1" applyBorder="1" applyFont="1">
      <alignment horizontal="center" shrinkToFit="0" vertical="center" wrapText="1"/>
    </xf>
    <xf borderId="2" fillId="12" fontId="7" numFmtId="10" xfId="0" applyAlignment="1" applyBorder="1" applyFill="1" applyFont="1" applyNumberFormat="1">
      <alignment horizontal="center" shrinkToFit="0" vertical="center" wrapText="1"/>
    </xf>
    <xf borderId="2" fillId="12" fontId="7" numFmtId="0" xfId="0" applyAlignment="1" applyBorder="1" applyFont="1">
      <alignment horizontal="center" readingOrder="0" shrinkToFit="0" vertical="center" wrapText="1"/>
    </xf>
    <xf borderId="3" fillId="12" fontId="7" numFmtId="10" xfId="0" applyAlignment="1" applyBorder="1" applyFont="1" applyNumberFormat="1">
      <alignment horizontal="center" shrinkToFit="0" vertical="center" wrapText="1"/>
    </xf>
    <xf borderId="11" fillId="12" fontId="7" numFmtId="0" xfId="0" applyAlignment="1" applyBorder="1" applyFont="1">
      <alignment horizontal="center" readingOrder="0" shrinkToFit="0" vertical="center" wrapText="1"/>
    </xf>
    <xf borderId="0" fillId="12" fontId="7" numFmtId="0" xfId="0" applyAlignment="1" applyFont="1">
      <alignment horizontal="center" readingOrder="0" shrinkToFit="0" vertical="center" wrapText="1"/>
    </xf>
    <xf borderId="17" fillId="12" fontId="7" numFmtId="0" xfId="0" applyAlignment="1" applyBorder="1" applyFont="1">
      <alignment horizontal="center" readingOrder="0" shrinkToFit="0" vertical="center" wrapText="1"/>
    </xf>
    <xf borderId="2" fillId="12" fontId="7" numFmtId="166" xfId="0" applyAlignment="1" applyBorder="1" applyFont="1" applyNumberFormat="1">
      <alignment horizontal="center" shrinkToFit="0" vertical="center" wrapText="1"/>
    </xf>
    <xf borderId="3" fillId="12" fontId="7" numFmtId="167" xfId="0" applyAlignment="1" applyBorder="1" applyFont="1" applyNumberFormat="1">
      <alignment horizontal="center" shrinkToFit="0" vertical="center" wrapText="1"/>
    </xf>
    <xf borderId="2" fillId="12" fontId="7" numFmtId="0" xfId="0" applyAlignment="1" applyBorder="1" applyFont="1">
      <alignment horizontal="center" shrinkToFit="0" vertical="center" wrapText="1"/>
    </xf>
    <xf borderId="3" fillId="12" fontId="7" numFmtId="0" xfId="0" applyAlignment="1" applyBorder="1" applyFont="1">
      <alignment horizontal="center" shrinkToFit="0" vertical="center" wrapText="1"/>
    </xf>
    <xf borderId="11" fillId="0" fontId="12" numFmtId="0" xfId="0" applyAlignment="1" applyBorder="1" applyFont="1">
      <alignment horizontal="right" readingOrder="0" vertical="bottom"/>
    </xf>
    <xf borderId="0" fillId="0" fontId="12" numFmtId="0" xfId="0" applyAlignment="1" applyFont="1">
      <alignment horizontal="right" readingOrder="0" vertical="bottom"/>
    </xf>
    <xf borderId="2" fillId="5" fontId="7" numFmtId="4" xfId="0" applyAlignment="1" applyBorder="1" applyFont="1" applyNumberFormat="1">
      <alignment horizontal="center" shrinkToFit="0" vertical="center" wrapText="1"/>
    </xf>
    <xf borderId="3" fillId="5" fontId="7" numFmtId="4" xfId="0" applyAlignment="1" applyBorder="1" applyFont="1" applyNumberFormat="1">
      <alignment horizontal="center" shrinkToFit="0" vertical="center" wrapText="1"/>
    </xf>
    <xf borderId="0" fillId="0" fontId="26" numFmtId="0" xfId="0" applyAlignment="1" applyFont="1">
      <alignment horizontal="center" readingOrder="0" shrinkToFit="0" vertical="center" wrapText="1"/>
    </xf>
    <xf borderId="2" fillId="11" fontId="7" numFmtId="4" xfId="0" applyAlignment="1" applyBorder="1" applyFont="1" applyNumberFormat="1">
      <alignment horizontal="center" shrinkToFit="0" vertical="center" wrapText="1"/>
    </xf>
    <xf borderId="3" fillId="11" fontId="7" numFmtId="4" xfId="0" applyAlignment="1" applyBorder="1" applyFont="1" applyNumberFormat="1">
      <alignment horizontal="center" shrinkToFit="0" vertical="center" wrapText="1"/>
    </xf>
    <xf borderId="2" fillId="12" fontId="7" numFmtId="4" xfId="0" applyAlignment="1" applyBorder="1" applyFont="1" applyNumberFormat="1">
      <alignment horizontal="center" shrinkToFit="0" vertical="center" wrapText="1"/>
    </xf>
    <xf borderId="3" fillId="12" fontId="7" numFmtId="4" xfId="0" applyAlignment="1" applyBorder="1" applyFont="1" applyNumberFormat="1">
      <alignment horizontal="center" shrinkToFit="0" vertical="center" wrapText="1"/>
    </xf>
    <xf borderId="1" fillId="8" fontId="32" numFmtId="0" xfId="0" applyAlignment="1" applyBorder="1" applyFont="1">
      <alignment horizontal="center" readingOrder="0" vertical="center"/>
    </xf>
    <xf borderId="1" fillId="0" fontId="18" numFmtId="0" xfId="0" applyAlignment="1" applyBorder="1" applyFont="1">
      <alignment horizontal="center" vertical="center"/>
    </xf>
    <xf borderId="24" fillId="3" fontId="7" numFmtId="0" xfId="0" applyAlignment="1" applyBorder="1" applyFont="1">
      <alignment horizontal="center" readingOrder="0" vertical="center"/>
    </xf>
    <xf borderId="10" fillId="4" fontId="33" numFmtId="0" xfId="0" applyAlignment="1" applyBorder="1" applyFont="1">
      <alignment horizontal="center" readingOrder="0" shrinkToFit="0" vertical="center" wrapText="1"/>
    </xf>
    <xf borderId="11" fillId="4" fontId="33" numFmtId="0" xfId="0" applyAlignment="1" applyBorder="1" applyFont="1">
      <alignment horizontal="center" readingOrder="0" shrinkToFit="0" vertical="center" wrapText="1"/>
    </xf>
    <xf borderId="11" fillId="0" fontId="33" numFmtId="0" xfId="0" applyAlignment="1" applyBorder="1" applyFont="1">
      <alignment horizontal="center" readingOrder="0" shrinkToFit="0" vertical="center" wrapText="1"/>
    </xf>
    <xf borderId="12" fillId="0" fontId="34" numFmtId="0" xfId="0" applyAlignment="1" applyBorder="1" applyFont="1">
      <alignment horizontal="center" readingOrder="0" shrinkToFit="0" vertical="center" wrapText="1"/>
    </xf>
    <xf borderId="1" fillId="0" fontId="18" numFmtId="0" xfId="0" applyAlignment="1" applyBorder="1" applyFont="1">
      <alignment horizontal="center" readingOrder="0" vertical="center"/>
    </xf>
    <xf borderId="16" fillId="0" fontId="35" numFmtId="175" xfId="0" applyAlignment="1" applyBorder="1" applyFont="1" applyNumberFormat="1">
      <alignment horizontal="left" shrinkToFit="0" wrapText="0"/>
    </xf>
    <xf borderId="0" fillId="0" fontId="35" numFmtId="0" xfId="0" applyAlignment="1" applyFont="1">
      <alignment horizontal="left" shrinkToFit="0" wrapText="0"/>
    </xf>
    <xf borderId="0" fillId="0" fontId="36" numFmtId="0" xfId="0" applyAlignment="1" applyFont="1">
      <alignment horizontal="left" shrinkToFit="0" wrapText="0"/>
    </xf>
    <xf borderId="17" fillId="0" fontId="35" numFmtId="0" xfId="0" applyAlignment="1" applyBorder="1" applyFont="1">
      <alignment horizontal="left" shrinkToFit="0" wrapText="0"/>
    </xf>
    <xf borderId="16" fillId="0" fontId="35" numFmtId="0" xfId="0" applyAlignment="1" applyBorder="1" applyFont="1">
      <alignment horizontal="left" shrinkToFit="0" wrapText="0"/>
    </xf>
    <xf borderId="11" fillId="0" fontId="37" numFmtId="0" xfId="0" applyAlignment="1" applyBorder="1" applyFont="1">
      <alignment horizontal="left" shrinkToFit="0" wrapText="0"/>
    </xf>
    <xf borderId="11" fillId="0" fontId="38" numFmtId="0" xfId="0" applyAlignment="1" applyBorder="1" applyFont="1">
      <alignment horizontal="left" shrinkToFit="0" wrapText="0"/>
    </xf>
    <xf borderId="11" fillId="0" fontId="6" numFmtId="0" xfId="0" applyBorder="1" applyFont="1"/>
    <xf borderId="11" fillId="0" fontId="39" numFmtId="0" xfId="0" applyAlignment="1" applyBorder="1" applyFont="1">
      <alignment horizontal="left" shrinkToFit="0" wrapText="0"/>
    </xf>
    <xf borderId="1" fillId="8" fontId="40" numFmtId="0" xfId="0" applyAlignment="1" applyBorder="1" applyFont="1">
      <alignment horizontal="center" readingOrder="0" vertical="center"/>
    </xf>
    <xf borderId="10" fillId="13" fontId="35" numFmtId="0" xfId="0" applyAlignment="1" applyBorder="1" applyFill="1" applyFont="1">
      <alignment horizontal="right" readingOrder="0"/>
    </xf>
    <xf borderId="11" fillId="4" fontId="41" numFmtId="170" xfId="0" applyAlignment="1" applyBorder="1" applyFont="1" applyNumberFormat="1">
      <alignment horizontal="center"/>
    </xf>
    <xf borderId="11" fillId="13" fontId="35" numFmtId="0" xfId="0" applyAlignment="1" applyBorder="1" applyFont="1">
      <alignment horizontal="right" readingOrder="0" shrinkToFit="0" wrapText="0"/>
    </xf>
    <xf borderId="12" fillId="4" fontId="41" numFmtId="10" xfId="0" applyAlignment="1" applyBorder="1" applyFont="1" applyNumberFormat="1">
      <alignment horizontal="center" shrinkToFit="0" wrapText="0"/>
    </xf>
    <xf borderId="16" fillId="13" fontId="35" numFmtId="0" xfId="0" applyAlignment="1" applyBorder="1" applyFont="1">
      <alignment horizontal="right" readingOrder="0"/>
    </xf>
    <xf borderId="0" fillId="4" fontId="41" numFmtId="170" xfId="0" applyAlignment="1" applyFont="1" applyNumberFormat="1">
      <alignment horizontal="center"/>
    </xf>
    <xf borderId="0" fillId="13" fontId="35" numFmtId="0" xfId="0" applyAlignment="1" applyFont="1">
      <alignment horizontal="right" readingOrder="0" shrinkToFit="0" wrapText="0"/>
    </xf>
    <xf borderId="17" fillId="4" fontId="41" numFmtId="10" xfId="0" applyAlignment="1" applyBorder="1" applyFont="1" applyNumberFormat="1">
      <alignment horizontal="center" shrinkToFit="0" wrapText="0"/>
    </xf>
    <xf borderId="17" fillId="4" fontId="41" numFmtId="165" xfId="0" applyAlignment="1" applyBorder="1" applyFont="1" applyNumberFormat="1">
      <alignment horizontal="center" shrinkToFit="0" wrapText="0"/>
    </xf>
    <xf borderId="0" fillId="13" fontId="35" numFmtId="0" xfId="0" applyAlignment="1" applyFont="1">
      <alignment horizontal="right" readingOrder="0"/>
    </xf>
    <xf borderId="17" fillId="4" fontId="41" numFmtId="0" xfId="0" applyAlignment="1" applyBorder="1" applyFont="1">
      <alignment horizontal="center" shrinkToFit="0" wrapText="0"/>
    </xf>
    <xf borderId="25" fillId="3" fontId="7" numFmtId="0" xfId="0" applyAlignment="1" applyBorder="1" applyFont="1">
      <alignment horizontal="center" readingOrder="0" vertical="center"/>
    </xf>
    <xf borderId="18" fillId="13" fontId="35" numFmtId="0" xfId="0" applyAlignment="1" applyBorder="1" applyFont="1">
      <alignment horizontal="right" readingOrder="0"/>
    </xf>
    <xf borderId="19" fillId="4" fontId="41" numFmtId="165" xfId="0" applyAlignment="1" applyBorder="1" applyFont="1" applyNumberFormat="1">
      <alignment horizontal="center"/>
    </xf>
    <xf borderId="19" fillId="13" fontId="35" numFmtId="0" xfId="0" applyAlignment="1" applyBorder="1" applyFont="1">
      <alignment horizontal="right" readingOrder="0"/>
    </xf>
    <xf borderId="20" fillId="4" fontId="41" numFmtId="165" xfId="0" applyAlignment="1" applyBorder="1" applyFont="1" applyNumberFormat="1">
      <alignment horizontal="center" shrinkToFit="0" wrapText="0"/>
    </xf>
    <xf borderId="0" fillId="0" fontId="6" numFmtId="0" xfId="0" applyFont="1"/>
    <xf borderId="0" fillId="0" fontId="6" numFmtId="0" xfId="0" applyAlignment="1" applyFont="1">
      <alignment vertical="top"/>
    </xf>
    <xf borderId="0" fillId="0" fontId="42" numFmtId="0" xfId="0" applyAlignment="1" applyFont="1">
      <alignment readingOrder="0" vertical="top"/>
    </xf>
    <xf borderId="0" fillId="0" fontId="43" numFmtId="0" xfId="0" applyAlignment="1" applyFont="1">
      <alignment readingOrder="0" shrinkToFit="0" vertical="top" wrapText="1"/>
    </xf>
    <xf borderId="0" fillId="0" fontId="5" numFmtId="172" xfId="0" applyAlignment="1" applyFont="1" applyNumberFormat="1">
      <alignment vertical="bottom"/>
    </xf>
    <xf borderId="1" fillId="2" fontId="2" numFmtId="0" xfId="0" applyAlignment="1" applyBorder="1" applyFont="1">
      <alignment horizontal="center"/>
    </xf>
    <xf borderId="0" fillId="0" fontId="1" numFmtId="173" xfId="0" applyAlignment="1" applyFont="1" applyNumberFormat="1">
      <alignment vertical="bottom"/>
    </xf>
    <xf borderId="19" fillId="0" fontId="7" numFmtId="0" xfId="0" applyAlignment="1" applyBorder="1" applyFont="1">
      <alignment horizontal="center" readingOrder="0" shrinkToFit="0" wrapText="1"/>
    </xf>
    <xf borderId="19" fillId="0" fontId="7" numFmtId="0" xfId="0" applyAlignment="1" applyBorder="1" applyFont="1">
      <alignment horizontal="center" shrinkToFit="0" wrapText="1"/>
    </xf>
    <xf borderId="17" fillId="4" fontId="12" numFmtId="0" xfId="0" applyAlignment="1" applyBorder="1" applyFont="1">
      <alignment horizontal="center" vertical="bottom"/>
    </xf>
    <xf borderId="0" fillId="0" fontId="6" numFmtId="0" xfId="0" applyAlignment="1" applyFont="1">
      <alignment horizontal="center" readingOrder="0"/>
    </xf>
    <xf borderId="0" fillId="4" fontId="21" numFmtId="176" xfId="0" applyAlignment="1" applyFont="1" applyNumberFormat="1">
      <alignment horizontal="center" vertical="bottom"/>
    </xf>
    <xf borderId="0" fillId="4" fontId="21" numFmtId="176" xfId="0" applyAlignment="1" applyFont="1" applyNumberFormat="1">
      <alignment horizontal="center" readingOrder="0" vertical="bottom"/>
    </xf>
    <xf borderId="0" fillId="14" fontId="21" numFmtId="176" xfId="0" applyAlignment="1" applyFill="1" applyFont="1" applyNumberFormat="1">
      <alignment horizontal="center" vertical="bottom"/>
    </xf>
    <xf borderId="17" fillId="14" fontId="12" numFmtId="0" xfId="0" applyAlignment="1" applyBorder="1" applyFont="1">
      <alignment horizontal="center" vertical="bottom"/>
    </xf>
    <xf borderId="0" fillId="14" fontId="21" numFmtId="176" xfId="0" applyAlignment="1" applyFont="1" applyNumberFormat="1">
      <alignment horizontal="center" readingOrder="0" vertical="bottom"/>
    </xf>
    <xf borderId="17" fillId="14" fontId="12" numFmtId="0" xfId="0" applyAlignment="1" applyBorder="1" applyFont="1">
      <alignment horizontal="center" readingOrder="0" vertical="bottom"/>
    </xf>
    <xf borderId="17" fillId="4" fontId="16" numFmtId="0" xfId="0" applyAlignment="1" applyBorder="1" applyFont="1">
      <alignment horizontal="center" readingOrder="0" vertical="bottom"/>
    </xf>
    <xf borderId="0" fillId="0" fontId="6" numFmtId="173"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color rgb="FFC53929"/>
      </font>
      <fill>
        <patternFill patternType="none"/>
      </fill>
      <border/>
    </dxf>
    <dxf>
      <font>
        <color rgb="FF0B8043"/>
      </font>
      <fill>
        <patternFill patternType="none"/>
      </fill>
      <border/>
    </dxf>
    <dxf>
      <font/>
      <fill>
        <patternFill patternType="solid">
          <fgColor rgb="FFF9CB9C"/>
          <bgColor rgb="FFF9CB9C"/>
        </patternFill>
      </fill>
      <border/>
    </dxf>
  </dxfs>
  <tableStyles count="3">
    <tableStyle count="2" pivot="0" name="Template-style">
      <tableStyleElement dxfId="1" type="firstRowStripe"/>
      <tableStyleElement dxfId="2" type="secondRowStripe"/>
    </tableStyle>
    <tableStyle count="2" pivot="0" name="META-style">
      <tableStyleElement dxfId="1" type="firstRowStripe"/>
      <tableStyleElement dxfId="2" type="secondRowStripe"/>
    </tableStyle>
    <tableStyle count="2" pivot="0" name="Currency Conversio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 Income and Cash Flow</a:t>
            </a:r>
          </a:p>
        </c:rich>
      </c:tx>
      <c:layout>
        <c:manualLayout>
          <c:xMode val="edge"/>
          <c:yMode val="edge"/>
          <c:x val="0.029527777777777764"/>
          <c:y val="0.05002247191011236"/>
        </c:manualLayout>
      </c:layout>
      <c:overlay val="0"/>
    </c:title>
    <c:plotArea>
      <c:layout/>
      <c:lineChart>
        <c:axId val="2087528711"/>
        <c:axId val="1825724139"/>
      </c:lineChart>
      <c:catAx>
        <c:axId val="20875287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25724139"/>
      </c:catAx>
      <c:valAx>
        <c:axId val="1825724139"/>
        <c:scaling>
          <c:orientation val="minMax"/>
        </c:scaling>
        <c:delete val="0"/>
        <c:axPos val="l"/>
        <c:tickLblPos val="nextTo"/>
        <c:spPr>
          <a:ln>
            <a:noFill/>
          </a:ln>
        </c:spPr>
        <c:crossAx val="2087528711"/>
      </c:valAx>
    </c:plotArea>
    <c:legend>
      <c:legendPos val="r"/>
      <c:layout>
        <c:manualLayout>
          <c:xMode val="edge"/>
          <c:yMode val="edge"/>
          <c:x val="0.09230272680523832"/>
          <c:y val="0.14939309469302806"/>
        </c:manualLayout>
      </c:layou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Margins</a:t>
            </a:r>
          </a:p>
        </c:rich>
      </c:tx>
      <c:overlay val="0"/>
    </c:title>
    <c:plotArea>
      <c:layout/>
      <c:lineChart>
        <c:axId val="896753169"/>
        <c:axId val="5902725"/>
      </c:lineChart>
      <c:catAx>
        <c:axId val="8967531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02725"/>
      </c:catAx>
      <c:valAx>
        <c:axId val="5902725"/>
        <c:scaling>
          <c:orientation val="minMax"/>
        </c:scaling>
        <c:delete val="0"/>
        <c:axPos val="l"/>
        <c:tickLblPos val="nextTo"/>
        <c:spPr>
          <a:ln>
            <a:noFill/>
          </a:ln>
        </c:spPr>
        <c:crossAx val="89675316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axId val="544182216"/>
        <c:axId val="1325006372"/>
      </c:areaChart>
      <c:catAx>
        <c:axId val="5441822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5006372"/>
      </c:catAx>
      <c:valAx>
        <c:axId val="1325006372"/>
        <c:scaling>
          <c:orientation val="minMax"/>
        </c:scaling>
        <c:delete val="0"/>
        <c:axPos val="l"/>
        <c:tickLblPos val="nextTo"/>
        <c:spPr>
          <a:ln>
            <a:noFill/>
          </a:ln>
        </c:spPr>
        <c:crossAx val="544182216"/>
      </c:valAx>
    </c:plotArea>
    <c:legend>
      <c:legendPos val="r"/>
      <c:overlay val="0"/>
      <c:txPr>
        <a:bodyPr/>
        <a:lstStyle/>
        <a:p>
          <a:pPr lvl="0">
            <a:defRPr b="0">
              <a:solidFill>
                <a:srgbClr val="1A1A1A"/>
              </a:solidFill>
              <a:latin typeface="+mn-lt"/>
            </a:defRPr>
          </a:pPr>
        </a:p>
      </c:txPr>
    </c:legend>
    <c:plotVisOnly val="0"/>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Balance Sheet</a:t>
            </a:r>
          </a:p>
        </c:rich>
      </c:tx>
      <c:overlay val="0"/>
    </c:title>
    <c:plotArea>
      <c:layout/>
      <c:lineChart>
        <c:ser>
          <c:idx val="0"/>
          <c:order val="0"/>
          <c:tx>
            <c:v>Op. Income</c:v>
          </c:tx>
          <c:spPr>
            <a:ln cmpd="sng">
              <a:solidFill>
                <a:srgbClr val="4285F4"/>
              </a:solidFill>
            </a:ln>
          </c:spPr>
          <c:marker>
            <c:symbol val="none"/>
          </c:marker>
          <c:cat>
            <c:strRef>
              <c:f>Template!$A$34:$A$53</c:f>
            </c:strRef>
          </c:cat>
          <c:val>
            <c:numRef>
              <c:f>Template!$F$34:$F$53</c:f>
              <c:numCache/>
            </c:numRef>
          </c:val>
          <c:smooth val="1"/>
        </c:ser>
        <c:axId val="705465843"/>
        <c:axId val="1970602426"/>
      </c:lineChart>
      <c:catAx>
        <c:axId val="7054658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70602426"/>
      </c:catAx>
      <c:valAx>
        <c:axId val="19706024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 M&quot;" sourceLinked="0"/>
        <c:majorTickMark val="none"/>
        <c:minorTickMark val="none"/>
        <c:tickLblPos val="nextTo"/>
        <c:spPr>
          <a:ln>
            <a:noFill/>
          </a:ln>
        </c:spPr>
        <c:txPr>
          <a:bodyPr/>
          <a:lstStyle/>
          <a:p>
            <a:pPr lvl="0">
              <a:defRPr b="0">
                <a:solidFill>
                  <a:srgbClr val="000000"/>
                </a:solidFill>
                <a:latin typeface="+mn-lt"/>
              </a:defRPr>
            </a:pPr>
          </a:p>
        </c:txPr>
        <c:crossAx val="70546584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and Earnings</a:t>
            </a:r>
          </a:p>
        </c:rich>
      </c:tx>
      <c:overlay val="0"/>
    </c:title>
    <c:plotArea>
      <c:layout/>
      <c:barChart>
        <c:barDir val="col"/>
        <c:grouping val="stacked"/>
        <c:ser>
          <c:idx val="0"/>
          <c:order val="0"/>
          <c:tx>
            <c:strRef>
              <c:f>Template!$X$32:$X$33</c:f>
            </c:strRef>
          </c:tx>
          <c:cat>
            <c:strRef>
              <c:f>Template!$A$34:$A$53</c:f>
            </c:strRef>
          </c:cat>
          <c:val>
            <c:numRef>
              <c:f>Template!$X$34:$X$53</c:f>
              <c:numCache/>
            </c:numRef>
          </c:val>
        </c:ser>
        <c:ser>
          <c:idx val="1"/>
          <c:order val="1"/>
          <c:tx>
            <c:strRef>
              <c:f>Template!$Z$32:$Z$33</c:f>
            </c:strRef>
          </c:tx>
          <c:cat>
            <c:strRef>
              <c:f>Template!$A$34:$A$53</c:f>
            </c:strRef>
          </c:cat>
          <c:val>
            <c:numRef>
              <c:f>Template!$Z$34:$Z$53</c:f>
              <c:numCache/>
            </c:numRef>
          </c:val>
        </c:ser>
        <c:ser>
          <c:idx val="2"/>
          <c:order val="2"/>
          <c:tx>
            <c:strRef>
              <c:f>Template!$AA$32:$AA$33</c:f>
            </c:strRef>
          </c:tx>
          <c:cat>
            <c:strRef>
              <c:f>Template!$A$34:$A$53</c:f>
            </c:strRef>
          </c:cat>
          <c:val>
            <c:numRef>
              <c:f>Template!$AA$34:$AA$53</c:f>
              <c:numCache/>
            </c:numRef>
          </c:val>
        </c:ser>
        <c:ser>
          <c:idx val="3"/>
          <c:order val="3"/>
          <c:tx>
            <c:strRef>
              <c:f>Template!$AB$32:$AB$33</c:f>
            </c:strRef>
          </c:tx>
          <c:cat>
            <c:strRef>
              <c:f>Template!$A$34:$A$53</c:f>
            </c:strRef>
          </c:cat>
          <c:val>
            <c:numRef>
              <c:f>Template!$AB$34:$AB$53</c:f>
              <c:numCache/>
            </c:numRef>
          </c:val>
        </c:ser>
        <c:overlap val="100"/>
        <c:axId val="860568645"/>
        <c:axId val="1432420218"/>
      </c:barChart>
      <c:catAx>
        <c:axId val="8605686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32420218"/>
      </c:catAx>
      <c:valAx>
        <c:axId val="1432420218"/>
        <c:scaling>
          <c:orientation val="minMax"/>
        </c:scaling>
        <c:delete val="0"/>
        <c:axPos val="l"/>
        <c:tickLblPos val="nextTo"/>
        <c:spPr>
          <a:ln>
            <a:noFill/>
          </a:ln>
        </c:spPr>
        <c:crossAx val="860568645"/>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 Income and Cash Flow</a:t>
            </a:r>
          </a:p>
        </c:rich>
      </c:tx>
      <c:layout>
        <c:manualLayout>
          <c:xMode val="edge"/>
          <c:yMode val="edge"/>
          <c:x val="0.029527777777777764"/>
          <c:y val="0.05002247191011236"/>
        </c:manualLayout>
      </c:layout>
      <c:overlay val="0"/>
    </c:title>
    <c:plotArea>
      <c:layout/>
      <c:lineChart>
        <c:ser>
          <c:idx val="0"/>
          <c:order val="0"/>
          <c:tx>
            <c:v>Op. Inc</c:v>
          </c:tx>
          <c:spPr>
            <a:ln cmpd="sng">
              <a:solidFill>
                <a:schemeClr val="accent1"/>
              </a:solidFill>
            </a:ln>
          </c:spPr>
          <c:marker>
            <c:symbol val="none"/>
          </c:marker>
          <c:cat>
            <c:strRef>
              <c:f>META!$A$34:$A$58</c:f>
            </c:strRef>
          </c:cat>
          <c:val>
            <c:numRef>
              <c:f>META!$F$34:$F$58</c:f>
              <c:numCache/>
            </c:numRef>
          </c:val>
          <c:smooth val="1"/>
        </c:ser>
        <c:ser>
          <c:idx val="1"/>
          <c:order val="1"/>
          <c:tx>
            <c:v>Op. CF</c:v>
          </c:tx>
          <c:spPr>
            <a:ln cmpd="sng">
              <a:solidFill>
                <a:schemeClr val="accent2"/>
              </a:solidFill>
            </a:ln>
          </c:spPr>
          <c:marker>
            <c:symbol val="none"/>
          </c:marker>
          <c:cat>
            <c:strRef>
              <c:f>META!$A$34:$A$58</c:f>
            </c:strRef>
          </c:cat>
          <c:val>
            <c:numRef>
              <c:f>META!$H$34:$H$58</c:f>
              <c:numCache/>
            </c:numRef>
          </c:val>
          <c:smooth val="1"/>
        </c:ser>
        <c:ser>
          <c:idx val="2"/>
          <c:order val="2"/>
          <c:tx>
            <c:v>adj. FCF</c:v>
          </c:tx>
          <c:spPr>
            <a:ln cmpd="sng">
              <a:solidFill>
                <a:schemeClr val="accent4"/>
              </a:solidFill>
            </a:ln>
          </c:spPr>
          <c:marker>
            <c:symbol val="none"/>
          </c:marker>
          <c:cat>
            <c:strRef>
              <c:f>META!$A$34:$A$58</c:f>
            </c:strRef>
          </c:cat>
          <c:val>
            <c:numRef>
              <c:f>META!$K$34:$K$58</c:f>
              <c:numCache/>
            </c:numRef>
          </c:val>
          <c:smooth val="1"/>
        </c:ser>
        <c:ser>
          <c:idx val="3"/>
          <c:order val="3"/>
          <c:tx>
            <c:strRef>
              <c:f>META!$I$32:$I$33</c:f>
            </c:strRef>
          </c:tx>
          <c:spPr>
            <a:ln cmpd="sng">
              <a:solidFill>
                <a:schemeClr val="dk1"/>
              </a:solidFill>
            </a:ln>
          </c:spPr>
          <c:marker>
            <c:symbol val="none"/>
          </c:marker>
          <c:cat>
            <c:strRef>
              <c:f>META!$A$34:$A$58</c:f>
            </c:strRef>
          </c:cat>
          <c:val>
            <c:numRef>
              <c:f>META!$I$34:$I$58</c:f>
              <c:numCache/>
            </c:numRef>
          </c:val>
          <c:smooth val="1"/>
        </c:ser>
        <c:axId val="468966887"/>
        <c:axId val="1893612428"/>
      </c:lineChart>
      <c:catAx>
        <c:axId val="4689668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3612428"/>
      </c:catAx>
      <c:valAx>
        <c:axId val="1893612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 M&quot;" sourceLinked="0"/>
        <c:majorTickMark val="none"/>
        <c:minorTickMark val="none"/>
        <c:tickLblPos val="nextTo"/>
        <c:spPr>
          <a:ln>
            <a:noFill/>
          </a:ln>
        </c:spPr>
        <c:txPr>
          <a:bodyPr/>
          <a:lstStyle/>
          <a:p>
            <a:pPr lvl="0">
              <a:defRPr b="0">
                <a:solidFill>
                  <a:srgbClr val="000000"/>
                </a:solidFill>
                <a:latin typeface="+mn-lt"/>
              </a:defRPr>
            </a:pPr>
          </a:p>
        </c:txPr>
        <c:crossAx val="468966887"/>
      </c:valAx>
    </c:plotArea>
    <c:legend>
      <c:legendPos val="r"/>
      <c:layout>
        <c:manualLayout>
          <c:xMode val="edge"/>
          <c:yMode val="edge"/>
          <c:x val="0.09230272680523832"/>
          <c:y val="0.14939309469302806"/>
        </c:manualLayout>
      </c:layout>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Margins</a:t>
            </a:r>
          </a:p>
        </c:rich>
      </c:tx>
      <c:overlay val="0"/>
    </c:title>
    <c:plotArea>
      <c:layout/>
      <c:lineChart>
        <c:ser>
          <c:idx val="0"/>
          <c:order val="0"/>
          <c:tx>
            <c:v>Gross</c:v>
          </c:tx>
          <c:spPr>
            <a:ln cmpd="sng">
              <a:solidFill>
                <a:schemeClr val="accent2"/>
              </a:solidFill>
            </a:ln>
          </c:spPr>
          <c:marker>
            <c:symbol val="none"/>
          </c:marker>
          <c:dPt>
            <c:idx val="5"/>
            <c:marker>
              <c:symbol val="none"/>
            </c:marker>
          </c:dPt>
          <c:dPt>
            <c:idx val="14"/>
            <c:marker>
              <c:symbol val="none"/>
            </c:marker>
          </c:dPt>
          <c:cat>
            <c:strRef>
              <c:f>META!$A$33:$A$53</c:f>
            </c:strRef>
          </c:cat>
          <c:val>
            <c:numRef>
              <c:f>META!$W$33:$W$53</c:f>
              <c:numCache/>
            </c:numRef>
          </c:val>
          <c:smooth val="1"/>
        </c:ser>
        <c:ser>
          <c:idx val="1"/>
          <c:order val="1"/>
          <c:tx>
            <c:v>Operating</c:v>
          </c:tx>
          <c:spPr>
            <a:ln cmpd="sng">
              <a:solidFill>
                <a:schemeClr val="accent1"/>
              </a:solidFill>
            </a:ln>
          </c:spPr>
          <c:marker>
            <c:symbol val="none"/>
          </c:marker>
          <c:dPt>
            <c:idx val="6"/>
            <c:marker>
              <c:symbol val="none"/>
            </c:marker>
          </c:dPt>
          <c:cat>
            <c:strRef>
              <c:f>META!$A$33:$A$53</c:f>
            </c:strRef>
          </c:cat>
          <c:val>
            <c:numRef>
              <c:f>META!$G$33:$G$53</c:f>
              <c:numCache/>
            </c:numRef>
          </c:val>
          <c:smooth val="1"/>
        </c:ser>
        <c:ser>
          <c:idx val="2"/>
          <c:order val="2"/>
          <c:tx>
            <c:v>Net</c:v>
          </c:tx>
          <c:spPr>
            <a:ln cmpd="sng">
              <a:solidFill>
                <a:srgbClr val="FBBC04"/>
              </a:solidFill>
            </a:ln>
          </c:spPr>
          <c:marker>
            <c:symbol val="none"/>
          </c:marker>
          <c:cat>
            <c:strRef>
              <c:f>META!$A$33:$A$53</c:f>
            </c:strRef>
          </c:cat>
          <c:val>
            <c:numRef>
              <c:f>META!$Y$33:$Y$53</c:f>
              <c:numCache/>
            </c:numRef>
          </c:val>
          <c:smooth val="1"/>
        </c:ser>
        <c:ser>
          <c:idx val="3"/>
          <c:order val="3"/>
          <c:tx>
            <c:v>Adj. FCF</c:v>
          </c:tx>
          <c:spPr>
            <a:ln cmpd="sng">
              <a:solidFill>
                <a:schemeClr val="accent4"/>
              </a:solidFill>
            </a:ln>
          </c:spPr>
          <c:marker>
            <c:symbol val="none"/>
          </c:marker>
          <c:cat>
            <c:strRef>
              <c:f>META!$A$33:$A$53</c:f>
            </c:strRef>
          </c:cat>
          <c:val>
            <c:numRef>
              <c:f>META!$L$33:$L$53</c:f>
              <c:numCache/>
            </c:numRef>
          </c:val>
          <c:smooth val="1"/>
        </c:ser>
        <c:axId val="906840869"/>
        <c:axId val="2140373014"/>
      </c:lineChart>
      <c:catAx>
        <c:axId val="9068408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40373014"/>
      </c:catAx>
      <c:valAx>
        <c:axId val="21403730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684086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4285F4">
                <a:alpha val="30000"/>
              </a:srgbClr>
            </a:solidFill>
            <a:ln cmpd="sng">
              <a:solidFill>
                <a:srgbClr val="4285F4"/>
              </a:solidFill>
            </a:ln>
          </c:spPr>
          <c:cat>
            <c:strRef>
              <c:f>META!$AC$54:$AC$445</c:f>
            </c:strRef>
          </c:cat>
          <c:val>
            <c:numRef>
              <c:f>META!$AD$54:$AD$445</c:f>
              <c:numCache/>
            </c:numRef>
          </c:val>
        </c:ser>
        <c:axId val="1784369970"/>
        <c:axId val="1503310790"/>
      </c:areaChart>
      <c:catAx>
        <c:axId val="17843699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3310790"/>
      </c:catAx>
      <c:valAx>
        <c:axId val="15033107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4369970"/>
      </c:valAx>
    </c:plotArea>
    <c:legend>
      <c:legendPos val="r"/>
      <c:overlay val="0"/>
      <c:txPr>
        <a:bodyPr/>
        <a:lstStyle/>
        <a:p>
          <a:pPr lvl="0">
            <a:defRPr b="0">
              <a:solidFill>
                <a:srgbClr val="1A1A1A"/>
              </a:solidFill>
              <a:latin typeface="+mn-lt"/>
            </a:defRPr>
          </a:pPr>
        </a:p>
      </c:txPr>
    </c:legend>
    <c:plotVisOnly val="0"/>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Balance Sheet</a:t>
            </a:r>
          </a:p>
        </c:rich>
      </c:tx>
      <c:overlay val="0"/>
    </c:title>
    <c:plotArea>
      <c:layout/>
      <c:lineChart>
        <c:ser>
          <c:idx val="0"/>
          <c:order val="0"/>
          <c:tx>
            <c:v>Op. Income</c:v>
          </c:tx>
          <c:spPr>
            <a:ln cmpd="sng">
              <a:solidFill>
                <a:srgbClr val="4285F4"/>
              </a:solidFill>
            </a:ln>
          </c:spPr>
          <c:marker>
            <c:symbol val="none"/>
          </c:marker>
          <c:cat>
            <c:strRef>
              <c:f>META!$A$34:$A$53</c:f>
            </c:strRef>
          </c:cat>
          <c:val>
            <c:numRef>
              <c:f>META!$F$34:$F$53</c:f>
              <c:numCache/>
            </c:numRef>
          </c:val>
          <c:smooth val="1"/>
        </c:ser>
        <c:ser>
          <c:idx val="1"/>
          <c:order val="1"/>
          <c:tx>
            <c:strRef>
              <c:f>META!$M$32:$M$33</c:f>
            </c:strRef>
          </c:tx>
          <c:spPr>
            <a:ln cmpd="sng">
              <a:solidFill>
                <a:srgbClr val="EA4335"/>
              </a:solidFill>
            </a:ln>
          </c:spPr>
          <c:marker>
            <c:symbol val="none"/>
          </c:marker>
          <c:cat>
            <c:strRef>
              <c:f>META!$A$34:$A$53</c:f>
            </c:strRef>
          </c:cat>
          <c:val>
            <c:numRef>
              <c:f>META!$M$34:$M$53</c:f>
              <c:numCache/>
            </c:numRef>
          </c:val>
          <c:smooth val="1"/>
        </c:ser>
        <c:ser>
          <c:idx val="2"/>
          <c:order val="2"/>
          <c:tx>
            <c:strRef>
              <c:f>META!$T$32:$T$33</c:f>
            </c:strRef>
          </c:tx>
          <c:spPr>
            <a:ln cmpd="sng">
              <a:solidFill>
                <a:srgbClr val="FBBC04"/>
              </a:solidFill>
            </a:ln>
          </c:spPr>
          <c:marker>
            <c:symbol val="none"/>
          </c:marker>
          <c:cat>
            <c:strRef>
              <c:f>META!$A$34:$A$53</c:f>
            </c:strRef>
          </c:cat>
          <c:val>
            <c:numRef>
              <c:f>META!$T$34:$T$53</c:f>
              <c:numCache/>
            </c:numRef>
          </c:val>
          <c:smooth val="1"/>
        </c:ser>
        <c:axId val="1261235458"/>
        <c:axId val="2001184036"/>
      </c:lineChart>
      <c:catAx>
        <c:axId val="12612354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01184036"/>
      </c:catAx>
      <c:valAx>
        <c:axId val="20011840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 M&quot;" sourceLinked="0"/>
        <c:majorTickMark val="none"/>
        <c:minorTickMark val="none"/>
        <c:tickLblPos val="nextTo"/>
        <c:spPr>
          <a:ln>
            <a:noFill/>
          </a:ln>
        </c:spPr>
        <c:txPr>
          <a:bodyPr/>
          <a:lstStyle/>
          <a:p>
            <a:pPr lvl="0">
              <a:defRPr b="0">
                <a:solidFill>
                  <a:srgbClr val="000000"/>
                </a:solidFill>
                <a:latin typeface="+mn-lt"/>
              </a:defRPr>
            </a:pPr>
          </a:p>
        </c:txPr>
        <c:crossAx val="126123545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200">
                <a:solidFill>
                  <a:srgbClr val="757575"/>
                </a:solidFill>
                <a:latin typeface="+mn-lt"/>
              </a:defRPr>
            </a:pPr>
            <a:r>
              <a:rPr b="0" sz="1200">
                <a:solidFill>
                  <a:srgbClr val="757575"/>
                </a:solidFill>
                <a:latin typeface="+mn-lt"/>
              </a:rPr>
              <a:t>Implied Fair Value vs Price Today</a:t>
            </a:r>
          </a:p>
        </c:rich>
      </c:tx>
      <c:overlay val="0"/>
    </c:title>
    <c:plotArea>
      <c:layout/>
      <c:barChart>
        <c:barDir val="col"/>
        <c:ser>
          <c:idx val="0"/>
          <c:order val="0"/>
          <c:spPr>
            <a:solidFill>
              <a:srgbClr val="E06666"/>
            </a:solidFill>
            <a:ln cmpd="sng">
              <a:noFill/>
            </a:ln>
          </c:spPr>
          <c:dPt>
            <c:idx val="0"/>
          </c:dPt>
          <c:dPt>
            <c:idx val="1"/>
            <c:spPr>
              <a:solidFill>
                <a:srgbClr val="FFE599"/>
              </a:solidFill>
              <a:ln cmpd="sng">
                <a:noFill/>
              </a:ln>
            </c:spPr>
          </c:dPt>
          <c:dPt>
            <c:idx val="2"/>
            <c:spPr>
              <a:solidFill>
                <a:srgbClr val="B6D7A8"/>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META!$F$20:$H$20</c:f>
            </c:strRef>
          </c:cat>
          <c:val>
            <c:numRef>
              <c:f>META!$F$21:$H$21</c:f>
              <c:numCache/>
            </c:numRef>
          </c:val>
        </c:ser>
        <c:axId val="1247052920"/>
        <c:axId val="222344824"/>
      </c:barChart>
      <c:lineChart>
        <c:varyColors val="0"/>
        <c:ser>
          <c:idx val="1"/>
          <c:order val="1"/>
          <c:spPr>
            <a:ln cmpd="sng">
              <a:solidFill>
                <a:schemeClr val="accent1"/>
              </a:solidFill>
              <a:prstDash val="dash"/>
            </a:ln>
          </c:spPr>
          <c:marker>
            <c:symbol val="none"/>
          </c:marker>
          <c:cat>
            <c:strRef>
              <c:f>META!$F$20:$H$20</c:f>
            </c:strRef>
          </c:cat>
          <c:val>
            <c:numRef>
              <c:f>META!$F$22:$H$22</c:f>
              <c:numCache/>
            </c:numRef>
          </c:val>
          <c:smooth val="0"/>
        </c:ser>
        <c:axId val="1247052920"/>
        <c:axId val="222344824"/>
      </c:lineChart>
      <c:catAx>
        <c:axId val="1247052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22344824"/>
      </c:catAx>
      <c:valAx>
        <c:axId val="222344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7052920"/>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and Earnings</a:t>
            </a:r>
          </a:p>
        </c:rich>
      </c:tx>
      <c:overlay val="0"/>
    </c:title>
    <c:plotArea>
      <c:layout/>
      <c:barChart>
        <c:barDir val="col"/>
        <c:grouping val="stacked"/>
        <c:ser>
          <c:idx val="0"/>
          <c:order val="0"/>
          <c:tx>
            <c:strRef>
              <c:f>META!$X$32:$X$33</c:f>
            </c:strRef>
          </c:tx>
          <c:spPr>
            <a:solidFill>
              <a:schemeClr val="accent3"/>
            </a:solidFill>
            <a:ln cmpd="sng">
              <a:noFill/>
            </a:ln>
          </c:spPr>
          <c:cat>
            <c:strRef>
              <c:f>META!$A$34:$A$53</c:f>
            </c:strRef>
          </c:cat>
          <c:val>
            <c:numRef>
              <c:f>META!$X$34:$X$53</c:f>
              <c:numCache/>
            </c:numRef>
          </c:val>
        </c:ser>
        <c:ser>
          <c:idx val="1"/>
          <c:order val="1"/>
          <c:tx>
            <c:v>Op. Income</c:v>
          </c:tx>
          <c:spPr>
            <a:solidFill>
              <a:schemeClr val="accent1"/>
            </a:solidFill>
            <a:ln cmpd="sng">
              <a:noFill/>
            </a:ln>
          </c:spPr>
          <c:cat>
            <c:strRef>
              <c:f>META!$A$34:$A$53</c:f>
            </c:strRef>
          </c:cat>
          <c:val>
            <c:numRef>
              <c:f>META!$Z$34:$Z$53</c:f>
              <c:numCache/>
            </c:numRef>
          </c:val>
        </c:ser>
        <c:ser>
          <c:idx val="2"/>
          <c:order val="2"/>
          <c:tx>
            <c:v>Gross Profit</c:v>
          </c:tx>
          <c:spPr>
            <a:solidFill>
              <a:schemeClr val="accent2"/>
            </a:solidFill>
            <a:ln cmpd="sng">
              <a:noFill/>
            </a:ln>
          </c:spPr>
          <c:dPt>
            <c:idx val="14"/>
          </c:dPt>
          <c:cat>
            <c:strRef>
              <c:f>META!$A$34:$A$53</c:f>
            </c:strRef>
          </c:cat>
          <c:val>
            <c:numRef>
              <c:f>META!$AA$34:$AA$53</c:f>
              <c:numCache/>
            </c:numRef>
          </c:val>
        </c:ser>
        <c:ser>
          <c:idx val="3"/>
          <c:order val="3"/>
          <c:tx>
            <c:v>Rev</c:v>
          </c:tx>
          <c:spPr>
            <a:solidFill>
              <a:schemeClr val="accent4"/>
            </a:solidFill>
            <a:ln cmpd="sng">
              <a:noFill/>
            </a:ln>
          </c:spPr>
          <c:cat>
            <c:strRef>
              <c:f>META!$A$34:$A$53</c:f>
            </c:strRef>
          </c:cat>
          <c:val>
            <c:numRef>
              <c:f>META!$AB$34:$AB$53</c:f>
              <c:numCache/>
            </c:numRef>
          </c:val>
        </c:ser>
        <c:overlap val="100"/>
        <c:axId val="863186280"/>
        <c:axId val="1566968933"/>
      </c:barChart>
      <c:catAx>
        <c:axId val="863186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66968933"/>
      </c:catAx>
      <c:valAx>
        <c:axId val="15669689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 M&quot;" sourceLinked="0"/>
        <c:majorTickMark val="none"/>
        <c:minorTickMark val="none"/>
        <c:tickLblPos val="nextTo"/>
        <c:spPr>
          <a:ln>
            <a:noFill/>
          </a:ln>
        </c:spPr>
        <c:txPr>
          <a:bodyPr/>
          <a:lstStyle/>
          <a:p>
            <a:pPr lvl="0">
              <a:defRPr b="0">
                <a:solidFill>
                  <a:srgbClr val="000000"/>
                </a:solidFill>
                <a:latin typeface="+mn-lt"/>
              </a:defRPr>
            </a:pPr>
          </a:p>
        </c:txPr>
        <c:crossAx val="86318628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333375</xdr:colOff>
      <xdr:row>16</xdr:row>
      <xdr:rowOff>171450</xdr:rowOff>
    </xdr:from>
    <xdr:ext cx="3162300" cy="2686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552450</xdr:colOff>
      <xdr:row>16</xdr:row>
      <xdr:rowOff>171450</xdr:rowOff>
    </xdr:from>
    <xdr:ext cx="3152775" cy="26860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752475</xdr:colOff>
      <xdr:row>7</xdr:row>
      <xdr:rowOff>0</xdr:rowOff>
    </xdr:from>
    <xdr:ext cx="3790950" cy="2019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752475</xdr:colOff>
      <xdr:row>16</xdr:row>
      <xdr:rowOff>171450</xdr:rowOff>
    </xdr:from>
    <xdr:ext cx="3048000" cy="26860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238125</xdr:colOff>
      <xdr:row>16</xdr:row>
      <xdr:rowOff>171450</xdr:rowOff>
    </xdr:from>
    <xdr:ext cx="4048125" cy="26860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333375</xdr:colOff>
      <xdr:row>16</xdr:row>
      <xdr:rowOff>171450</xdr:rowOff>
    </xdr:from>
    <xdr:ext cx="3162300" cy="26860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552450</xdr:colOff>
      <xdr:row>16</xdr:row>
      <xdr:rowOff>171450</xdr:rowOff>
    </xdr:from>
    <xdr:ext cx="3152775" cy="268605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752475</xdr:colOff>
      <xdr:row>7</xdr:row>
      <xdr:rowOff>0</xdr:rowOff>
    </xdr:from>
    <xdr:ext cx="3790950" cy="201930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752475</xdr:colOff>
      <xdr:row>16</xdr:row>
      <xdr:rowOff>171450</xdr:rowOff>
    </xdr:from>
    <xdr:ext cx="3048000" cy="2686050"/>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9525</xdr:colOff>
      <xdr:row>3</xdr:row>
      <xdr:rowOff>171450</xdr:rowOff>
    </xdr:from>
    <xdr:ext cx="3162300" cy="17811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238125</xdr:colOff>
      <xdr:row>16</xdr:row>
      <xdr:rowOff>171450</xdr:rowOff>
    </xdr:from>
    <xdr:ext cx="4048125" cy="2686050"/>
    <xdr:graphicFrame>
      <xdr:nvGraphicFramePr>
        <xdr:cNvPr id="11" name="Chart 11"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34:T53"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Template-style" showColumnStripes="0" showFirstColumn="1" showLastColumn="1" showRowStripes="1"/>
</table>
</file>

<file path=xl/tables/table2.xml><?xml version="1.0" encoding="utf-8"?>
<table xmlns="http://schemas.openxmlformats.org/spreadsheetml/2006/main" headerRowCount="0" ref="C34:T53" displayName="Table_2" name="Table_2" id="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META-style" showColumnStripes="0" showFirstColumn="1" showLastColumn="1" showRowStripes="1"/>
</table>
</file>

<file path=xl/tables/table3.xml><?xml version="1.0" encoding="utf-8"?>
<table xmlns="http://schemas.openxmlformats.org/spreadsheetml/2006/main" headerRowCount="0" ref="B4:L24"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urrency Convers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deepvaluehunter.com/"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deepvaluehunter.com/" TargetMode="External"/><Relationship Id="rId3" Type="http://schemas.openxmlformats.org/officeDocument/2006/relationships/drawing" Target="../drawings/drawing2.xml"/><Relationship Id="rId4" Type="http://schemas.openxmlformats.org/officeDocument/2006/relationships/vmlDrawing" Target="../drawings/vmlDrawing2.v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hidden="1" min="2" max="2" width="12.63"/>
    <col customWidth="1" min="3" max="20" width="10.0"/>
    <col customWidth="1" min="21" max="21" width="4.88"/>
    <col customWidth="1" min="22" max="28" width="6.88"/>
    <col customWidth="1" hidden="1" min="29" max="30" width="7.75"/>
  </cols>
  <sheetData>
    <row r="1" ht="31.5" customHeight="1">
      <c r="A1" s="1"/>
      <c r="B1" s="1"/>
      <c r="C1" s="2" t="s">
        <v>0</v>
      </c>
      <c r="D1" s="3"/>
      <c r="E1" s="3"/>
      <c r="F1" s="3"/>
      <c r="G1" s="3"/>
      <c r="H1" s="3"/>
      <c r="I1" s="3"/>
      <c r="J1" s="3"/>
      <c r="K1" s="3"/>
      <c r="L1" s="3"/>
      <c r="M1" s="3"/>
      <c r="N1" s="3"/>
      <c r="O1" s="3"/>
      <c r="P1" s="3"/>
      <c r="Q1" s="3"/>
      <c r="R1" s="3"/>
      <c r="S1" s="3"/>
      <c r="T1" s="4"/>
      <c r="U1" s="5"/>
      <c r="V1" s="6"/>
      <c r="W1" s="6"/>
      <c r="X1" s="5"/>
      <c r="Y1" s="5"/>
      <c r="Z1" s="5"/>
      <c r="AA1" s="5"/>
      <c r="AB1" s="5"/>
      <c r="AC1" s="5"/>
      <c r="AD1" s="5"/>
    </row>
    <row r="2">
      <c r="A2" s="1"/>
      <c r="B2" s="1"/>
      <c r="C2" s="7"/>
      <c r="D2" s="8" t="s">
        <v>1</v>
      </c>
      <c r="E2" s="7"/>
      <c r="F2" s="7">
        <v>1.0</v>
      </c>
      <c r="G2" s="7" t="s">
        <v>2</v>
      </c>
      <c r="H2" s="7">
        <v>2.0</v>
      </c>
      <c r="I2" s="7" t="s">
        <v>3</v>
      </c>
      <c r="J2" s="8">
        <v>3.0</v>
      </c>
      <c r="K2" s="9" t="s">
        <v>4</v>
      </c>
      <c r="L2" s="10"/>
      <c r="M2" s="10"/>
      <c r="N2" s="11"/>
      <c r="O2" s="12"/>
      <c r="P2" s="13"/>
      <c r="Q2" s="1"/>
      <c r="R2" s="14"/>
      <c r="S2" s="1"/>
      <c r="T2" s="1"/>
      <c r="U2" s="5"/>
      <c r="V2" s="6"/>
      <c r="W2" s="6"/>
      <c r="X2" s="5"/>
      <c r="Y2" s="5"/>
      <c r="Z2" s="5"/>
      <c r="AA2" s="5"/>
      <c r="AB2" s="5"/>
      <c r="AC2" s="5"/>
      <c r="AD2" s="5"/>
    </row>
    <row r="3">
      <c r="A3" s="1"/>
      <c r="B3" s="1"/>
      <c r="C3" s="15" t="s">
        <v>3</v>
      </c>
      <c r="D3" s="8"/>
      <c r="E3" s="16" t="s">
        <v>5</v>
      </c>
      <c r="U3" s="5"/>
      <c r="V3" s="6"/>
      <c r="W3" s="6"/>
      <c r="X3" s="5"/>
      <c r="Y3" s="5"/>
      <c r="Z3" s="5"/>
      <c r="AA3" s="5"/>
      <c r="AB3" s="5"/>
      <c r="AC3" s="5"/>
      <c r="AD3" s="5"/>
    </row>
    <row r="4">
      <c r="A4" s="1"/>
      <c r="B4" s="1"/>
      <c r="C4" s="6" t="str">
        <f>C5</f>
        <v/>
      </c>
      <c r="D4" s="1"/>
      <c r="E4" s="17"/>
      <c r="F4" s="17"/>
      <c r="G4" s="17"/>
      <c r="H4" s="17"/>
      <c r="I4" s="17"/>
      <c r="J4" s="1"/>
      <c r="K4" s="10"/>
      <c r="L4" s="10"/>
      <c r="M4" s="10"/>
      <c r="N4" s="11"/>
      <c r="O4" s="12"/>
      <c r="P4" s="13"/>
      <c r="Q4" s="1"/>
      <c r="R4" s="14"/>
      <c r="S4" s="1"/>
      <c r="T4" s="1"/>
      <c r="U4" s="5"/>
      <c r="V4" s="6"/>
      <c r="W4" s="6"/>
      <c r="X4" s="5"/>
      <c r="Y4" s="5"/>
      <c r="Z4" s="5"/>
      <c r="AA4" s="5"/>
      <c r="AB4" s="5"/>
      <c r="AC4" s="5"/>
      <c r="AD4" s="5"/>
    </row>
    <row r="5">
      <c r="A5" s="1"/>
      <c r="B5" s="1"/>
      <c r="C5" s="18"/>
      <c r="D5" s="19"/>
      <c r="E5" s="20"/>
      <c r="F5" s="21" t="str">
        <f>IFERROR(__xludf.DUMMYFUNCTION("IF($C$3=""Load"",iferror(GOOGLEFINANCE($C$5,""name"")),F5)"),"")</f>
        <v/>
      </c>
      <c r="G5" s="19"/>
      <c r="H5" s="20"/>
      <c r="I5" s="22" t="s">
        <v>6</v>
      </c>
      <c r="J5" s="20"/>
      <c r="N5" s="11"/>
      <c r="Q5" s="23"/>
      <c r="R5" s="24" t="s">
        <v>7</v>
      </c>
      <c r="S5" s="24" t="s">
        <v>8</v>
      </c>
      <c r="T5" s="25" t="s">
        <v>9</v>
      </c>
      <c r="U5" s="26"/>
      <c r="V5" s="5"/>
      <c r="W5" s="27" t="s">
        <v>10</v>
      </c>
      <c r="X5" s="5"/>
      <c r="Y5" s="5"/>
      <c r="Z5" s="5"/>
      <c r="AA5" s="5"/>
      <c r="AB5" s="5"/>
      <c r="AC5" s="5"/>
      <c r="AD5" s="5"/>
    </row>
    <row r="6">
      <c r="A6" s="1"/>
      <c r="B6" s="1"/>
      <c r="C6" s="28"/>
      <c r="E6" s="29"/>
      <c r="F6" s="28"/>
      <c r="H6" s="29"/>
      <c r="I6" s="30" t="str">
        <f>IFERROR(__xludf.DUMMYFUNCTION("IF($C$3=""Static"", I6, iferror(GOOGLEFINANCE($C$5)))"),"")</f>
        <v/>
      </c>
      <c r="J6" s="29"/>
      <c r="N6" s="11"/>
      <c r="Q6" s="31" t="s">
        <v>11</v>
      </c>
      <c r="R6" s="32" t="str">
        <f>if(S6="No Forecast","",Q63)</f>
        <v/>
      </c>
      <c r="S6" s="33" t="str">
        <f>if(countif(G63:H67,"=0")=10,"No Forecast", iferror(Q61,"No Forecast"))</f>
        <v>No Forecast</v>
      </c>
      <c r="T6" s="34" t="str">
        <f t="shared" ref="T6:T8" si="1">if(S6="No Forecast","",R6/I$6-1)</f>
        <v/>
      </c>
      <c r="U6" s="35"/>
      <c r="V6" s="5"/>
      <c r="W6" s="36" t="str">
        <f>(F53)/(Q53)</f>
        <v>#VALUE!</v>
      </c>
      <c r="X6" s="5"/>
      <c r="Y6" s="5"/>
      <c r="Z6" s="5"/>
      <c r="AA6" s="5"/>
      <c r="AB6" s="5"/>
      <c r="AC6" s="5"/>
      <c r="AD6" s="5"/>
    </row>
    <row r="7">
      <c r="A7" s="1"/>
      <c r="B7" s="1"/>
      <c r="C7" s="37"/>
      <c r="D7" s="38"/>
      <c r="E7" s="39"/>
      <c r="F7" s="37"/>
      <c r="G7" s="38"/>
      <c r="H7" s="39"/>
      <c r="I7" s="38"/>
      <c r="J7" s="39"/>
      <c r="N7" s="11"/>
      <c r="P7" s="40"/>
      <c r="Q7" s="41" t="s">
        <v>12</v>
      </c>
      <c r="R7" s="42" t="str">
        <f>if(S7="No Forecast","",Q71)</f>
        <v/>
      </c>
      <c r="S7" s="43" t="str">
        <f>if(countif(G71:H75,"=0")=10,"No Forecast",iferror(Q69,"No Forecast"))</f>
        <v>No Forecast</v>
      </c>
      <c r="T7" s="44" t="str">
        <f t="shared" si="1"/>
        <v/>
      </c>
      <c r="U7" s="35"/>
      <c r="V7" s="5"/>
      <c r="W7" s="5"/>
      <c r="X7" s="5"/>
      <c r="Y7" s="5"/>
      <c r="Z7" s="5"/>
      <c r="AA7" s="5"/>
      <c r="AB7" s="5"/>
      <c r="AC7" s="5"/>
      <c r="AD7" s="5"/>
    </row>
    <row r="8">
      <c r="A8" s="1"/>
      <c r="B8" s="1"/>
      <c r="C8" s="45" t="s">
        <v>13</v>
      </c>
      <c r="D8" s="46">
        <f>IF($C$3="Static",D8,today())</f>
        <v>46213</v>
      </c>
      <c r="E8" s="47"/>
      <c r="F8" s="48"/>
      <c r="J8" s="47"/>
      <c r="K8" s="49" t="s">
        <v>14</v>
      </c>
      <c r="L8" s="50"/>
      <c r="M8" s="10"/>
      <c r="N8" s="11"/>
      <c r="P8" s="23"/>
      <c r="Q8" s="41" t="s">
        <v>15</v>
      </c>
      <c r="R8" s="51" t="str">
        <f>if(S8="No Forecast","",Q79)</f>
        <v/>
      </c>
      <c r="S8" s="52" t="str">
        <f>if(countif(G79:H83,"=0")=10,"No Forecast",iferror(Q77,"No Forecast"))</f>
        <v>No Forecast</v>
      </c>
      <c r="T8" s="53" t="str">
        <f t="shared" si="1"/>
        <v/>
      </c>
      <c r="U8" s="35"/>
      <c r="V8" s="5"/>
      <c r="W8" s="5"/>
      <c r="X8" s="5"/>
      <c r="Y8" s="5"/>
      <c r="Z8" s="5"/>
      <c r="AA8" s="5"/>
      <c r="AB8" s="5"/>
      <c r="AC8" s="5"/>
      <c r="AD8" s="5"/>
    </row>
    <row r="9">
      <c r="A9" s="1"/>
      <c r="B9" s="1"/>
      <c r="C9" s="54" t="s">
        <v>16</v>
      </c>
      <c r="D9" s="55" t="str">
        <f>IFERROR(__xludf.DUMMYFUNCTION("IF($C$3=""Static"", D9, iferror(GOOGLEFINANCE($C$5,""marketcap"")))"),"")</f>
        <v/>
      </c>
      <c r="E9" s="47"/>
      <c r="J9" s="47"/>
      <c r="K9" s="56" t="str">
        <f>IFERROR(__xludf.DUMMYFUNCTION("IF($C$3=""Load"",iferror(GOOGLEFINANCE($C$5,"""")),F5)"),"")</f>
        <v/>
      </c>
      <c r="L9" s="57"/>
      <c r="M9" s="58"/>
      <c r="P9" s="50"/>
      <c r="Q9" s="59"/>
      <c r="R9" s="1"/>
      <c r="S9" s="1"/>
      <c r="T9" s="57"/>
      <c r="U9" s="60"/>
      <c r="V9" s="5"/>
      <c r="W9" s="5"/>
      <c r="X9" s="60"/>
      <c r="Y9" s="5"/>
      <c r="Z9" s="5"/>
      <c r="AA9" s="5"/>
      <c r="AB9" s="5"/>
      <c r="AC9" s="5"/>
      <c r="AD9" s="5"/>
    </row>
    <row r="10">
      <c r="A10" s="1"/>
      <c r="B10" s="1"/>
      <c r="C10" s="45" t="s">
        <v>17</v>
      </c>
      <c r="E10" s="61" t="str">
        <f>IFERROR(D9/X53,"")</f>
        <v/>
      </c>
      <c r="J10" s="47"/>
      <c r="K10" s="49" t="s">
        <v>18</v>
      </c>
      <c r="L10" s="62"/>
      <c r="M10" s="63"/>
      <c r="N10" s="10"/>
      <c r="P10" s="64"/>
      <c r="Q10" s="65" t="s">
        <v>19</v>
      </c>
      <c r="R10" s="66">
        <v>0.15</v>
      </c>
      <c r="S10" s="67">
        <v>0.2</v>
      </c>
      <c r="T10" s="68">
        <v>0.3</v>
      </c>
      <c r="U10" s="35"/>
      <c r="V10" s="5"/>
      <c r="W10" s="5"/>
      <c r="X10" s="60"/>
      <c r="Y10" s="60"/>
      <c r="Z10" s="60"/>
      <c r="AA10" s="60"/>
      <c r="AB10" s="5"/>
      <c r="AC10" s="5"/>
      <c r="AD10" s="5"/>
    </row>
    <row r="11">
      <c r="A11" s="1"/>
      <c r="B11" s="1"/>
      <c r="C11" s="45" t="s">
        <v>20</v>
      </c>
      <c r="E11" s="61" t="str">
        <f>iferror(Q53/F53,"")</f>
        <v/>
      </c>
      <c r="J11" s="47"/>
      <c r="K11" s="56" t="str">
        <f>IFERROR(__xludf.DUMMYFUNCTION("IF($C$3=""Load"",iferror(GOOGLEFINANCE($C$5,"""")),F5)"),"")</f>
        <v/>
      </c>
      <c r="L11" s="43"/>
      <c r="M11" s="63"/>
      <c r="N11" s="10"/>
      <c r="P11" s="65"/>
      <c r="Q11" s="69" t="s">
        <v>21</v>
      </c>
      <c r="R11" s="51">
        <f t="shared" ref="R11:T11" si="2">$R6*(1-R10)</f>
        <v>0</v>
      </c>
      <c r="S11" s="70">
        <f t="shared" si="2"/>
        <v>0</v>
      </c>
      <c r="T11" s="71">
        <f t="shared" si="2"/>
        <v>0</v>
      </c>
      <c r="U11" s="5"/>
      <c r="V11" s="5"/>
      <c r="W11" s="5"/>
      <c r="X11" s="60"/>
      <c r="Y11" s="60"/>
      <c r="Z11" s="60"/>
      <c r="AA11" s="60"/>
      <c r="AB11" s="5"/>
      <c r="AC11" s="5"/>
      <c r="AD11" s="5"/>
    </row>
    <row r="12">
      <c r="A12" s="1"/>
      <c r="B12" s="1"/>
      <c r="C12" s="45" t="s">
        <v>22</v>
      </c>
      <c r="E12" s="72" t="str">
        <f>iferror(K53/P53,"")</f>
        <v/>
      </c>
      <c r="J12" s="47"/>
      <c r="L12" s="43"/>
      <c r="M12" s="63"/>
      <c r="N12" s="10"/>
      <c r="U12" s="5"/>
      <c r="V12" s="5"/>
      <c r="W12" s="5"/>
      <c r="X12" s="60"/>
      <c r="Y12" s="60"/>
      <c r="Z12" s="60"/>
      <c r="AA12" s="60"/>
      <c r="AB12" s="5"/>
      <c r="AC12" s="5"/>
      <c r="AD12" s="5"/>
    </row>
    <row r="13">
      <c r="A13" s="1"/>
      <c r="B13" s="1"/>
      <c r="C13" s="45" t="s">
        <v>23</v>
      </c>
      <c r="E13" s="61" t="str">
        <f>N53</f>
        <v/>
      </c>
      <c r="J13" s="47"/>
      <c r="L13" s="43"/>
      <c r="M13" s="63"/>
      <c r="N13" s="10"/>
      <c r="Q13" s="1"/>
      <c r="U13" s="5"/>
      <c r="V13" s="5"/>
      <c r="W13" s="5"/>
      <c r="X13" s="73"/>
      <c r="Y13" s="73"/>
      <c r="Z13" s="73"/>
      <c r="AA13" s="73"/>
      <c r="AB13" s="5"/>
      <c r="AC13" s="5"/>
      <c r="AD13" s="5"/>
    </row>
    <row r="14">
      <c r="A14" s="1"/>
      <c r="B14" s="1"/>
      <c r="C14" s="45" t="s">
        <v>24</v>
      </c>
      <c r="E14" s="72" t="str">
        <f>G53</f>
        <v/>
      </c>
      <c r="J14" s="47"/>
      <c r="L14" s="74" t="s">
        <v>25</v>
      </c>
      <c r="M14" s="75"/>
      <c r="N14" s="75"/>
      <c r="O14" s="75"/>
      <c r="P14" s="75"/>
      <c r="Q14" s="75"/>
      <c r="R14" s="75"/>
      <c r="S14" s="75"/>
      <c r="T14" s="76"/>
      <c r="U14" s="5"/>
      <c r="V14" s="5"/>
      <c r="W14" s="5"/>
      <c r="X14" s="5"/>
      <c r="Y14" s="5"/>
      <c r="Z14" s="5"/>
      <c r="AA14" s="5"/>
      <c r="AB14" s="5"/>
      <c r="AC14" s="5"/>
      <c r="AD14" s="5"/>
    </row>
    <row r="15">
      <c r="A15" s="1"/>
      <c r="B15" s="1"/>
      <c r="C15" s="45" t="s">
        <v>26</v>
      </c>
      <c r="E15" s="72" t="str">
        <f>IF($C$3="Load",if(DVH($C$5,C15)="Data not available",DVH($C$5,C15,2024),DVH($C$5,C15)),E15)</f>
        <v>No data available for </v>
      </c>
      <c r="J15" s="47"/>
      <c r="L15" s="77">
        <f t="shared" ref="L15:O15" si="3">M15-(N15-M15)</f>
        <v>0</v>
      </c>
      <c r="M15" s="78">
        <f t="shared" si="3"/>
        <v>0</v>
      </c>
      <c r="N15" s="78">
        <f t="shared" si="3"/>
        <v>0</v>
      </c>
      <c r="O15" s="78">
        <f t="shared" si="3"/>
        <v>0</v>
      </c>
      <c r="P15" s="79">
        <f>round(I6,0)</f>
        <v>0</v>
      </c>
      <c r="Q15" s="78">
        <f>P15+round($I6/10,0)</f>
        <v>0</v>
      </c>
      <c r="R15" s="78">
        <f t="shared" ref="R15:T15" si="4">Q15+Q15-P15</f>
        <v>0</v>
      </c>
      <c r="S15" s="78">
        <f t="shared" si="4"/>
        <v>0</v>
      </c>
      <c r="T15" s="80">
        <f t="shared" si="4"/>
        <v>0</v>
      </c>
      <c r="U15" s="81"/>
      <c r="V15" s="82"/>
      <c r="W15" s="82"/>
      <c r="X15" s="82"/>
      <c r="Y15" s="82"/>
      <c r="Z15" s="82"/>
      <c r="AA15" s="82"/>
      <c r="AB15" s="5"/>
      <c r="AC15" s="5"/>
      <c r="AD15" s="5"/>
    </row>
    <row r="16">
      <c r="A16" s="1"/>
      <c r="B16" s="1"/>
      <c r="C16" s="83" t="s">
        <v>27</v>
      </c>
      <c r="D16" s="84"/>
      <c r="E16" s="85" t="s">
        <v>28</v>
      </c>
      <c r="F16" s="86"/>
      <c r="G16" s="86"/>
      <c r="H16" s="86"/>
      <c r="I16" s="86"/>
      <c r="J16" s="87"/>
      <c r="L16" s="88" t="str">
        <f t="shared" ref="L16:T16" si="5">iferror(IRR({-1*$P$53*(L15/$I$6),$I63,$I64,$I65,$I66,$I67+$N65}),"-")</f>
        <v>-</v>
      </c>
      <c r="M16" s="89" t="str">
        <f t="shared" si="5"/>
        <v>-</v>
      </c>
      <c r="N16" s="89" t="str">
        <f t="shared" si="5"/>
        <v>-</v>
      </c>
      <c r="O16" s="89" t="str">
        <f t="shared" si="5"/>
        <v>-</v>
      </c>
      <c r="P16" s="90" t="str">
        <f t="shared" si="5"/>
        <v>-</v>
      </c>
      <c r="Q16" s="89" t="str">
        <f t="shared" si="5"/>
        <v>-</v>
      </c>
      <c r="R16" s="89" t="str">
        <f t="shared" si="5"/>
        <v>-</v>
      </c>
      <c r="S16" s="89" t="str">
        <f t="shared" si="5"/>
        <v>-</v>
      </c>
      <c r="T16" s="91" t="str">
        <f t="shared" si="5"/>
        <v>-</v>
      </c>
      <c r="U16" s="5"/>
      <c r="V16" s="82"/>
      <c r="W16" s="82"/>
      <c r="X16" s="82"/>
      <c r="Y16" s="82"/>
      <c r="Z16" s="82"/>
      <c r="AA16" s="82"/>
      <c r="AB16" s="5"/>
      <c r="AC16" s="5"/>
      <c r="AD16" s="5"/>
    </row>
    <row r="17">
      <c r="A17" s="1"/>
      <c r="B17" s="1"/>
      <c r="C17" s="1"/>
      <c r="D17" s="1"/>
      <c r="F17" s="1"/>
      <c r="G17" s="1"/>
      <c r="H17" s="1"/>
      <c r="I17" s="1"/>
      <c r="J17" s="1"/>
      <c r="K17" s="57"/>
      <c r="L17" s="57"/>
      <c r="M17" s="10"/>
      <c r="N17" s="1"/>
      <c r="O17" s="63"/>
      <c r="P17" s="63"/>
      <c r="Q17" s="10"/>
      <c r="R17" s="63"/>
      <c r="S17" s="63"/>
      <c r="T17" s="63"/>
      <c r="U17" s="60"/>
      <c r="V17" s="82"/>
      <c r="W17" s="82"/>
      <c r="X17" s="82"/>
      <c r="Y17" s="82"/>
      <c r="Z17" s="82"/>
      <c r="AA17" s="82"/>
      <c r="AB17" s="5"/>
      <c r="AC17" s="5"/>
      <c r="AD17" s="5"/>
    </row>
    <row r="18">
      <c r="A18" s="1"/>
      <c r="B18" s="1"/>
      <c r="C18" s="1"/>
      <c r="D18" s="1"/>
      <c r="F18" s="1"/>
      <c r="L18" s="1"/>
      <c r="M18" s="10"/>
      <c r="N18" s="63"/>
      <c r="O18" s="63"/>
      <c r="P18" s="63"/>
      <c r="Q18" s="63"/>
      <c r="R18" s="63"/>
      <c r="S18" s="63"/>
      <c r="T18" s="63"/>
      <c r="U18" s="60"/>
      <c r="V18" s="82"/>
      <c r="W18" s="82"/>
      <c r="X18" s="5"/>
      <c r="Y18" s="82"/>
      <c r="Z18" s="82"/>
      <c r="AA18" s="82"/>
      <c r="AB18" s="5"/>
      <c r="AC18" s="5"/>
      <c r="AD18" s="5"/>
    </row>
    <row r="19">
      <c r="A19" s="1"/>
      <c r="B19" s="1"/>
      <c r="C19" s="92"/>
      <c r="D19" s="17"/>
      <c r="F19" s="92"/>
      <c r="G19" s="92"/>
      <c r="H19" s="92"/>
      <c r="I19" s="17"/>
      <c r="J19" s="1"/>
      <c r="K19" s="57"/>
      <c r="L19" s="57"/>
      <c r="M19" s="10"/>
      <c r="N19" s="1"/>
      <c r="O19" s="1"/>
      <c r="P19" s="1"/>
      <c r="Q19" s="12"/>
      <c r="R19" s="12"/>
      <c r="S19" s="1"/>
      <c r="T19" s="1"/>
      <c r="U19" s="5"/>
      <c r="V19" s="82"/>
      <c r="W19" s="82"/>
      <c r="X19" s="82"/>
      <c r="Y19" s="82"/>
      <c r="Z19" s="82"/>
      <c r="AA19" s="82"/>
      <c r="AB19" s="5"/>
      <c r="AC19" s="5"/>
      <c r="AD19" s="5"/>
    </row>
    <row r="20">
      <c r="A20" s="1"/>
      <c r="B20" s="1"/>
      <c r="C20" s="17"/>
      <c r="D20" s="17"/>
      <c r="E20" s="17"/>
      <c r="F20" s="93" t="s">
        <v>12</v>
      </c>
      <c r="G20" s="93" t="s">
        <v>11</v>
      </c>
      <c r="H20" s="93" t="s">
        <v>15</v>
      </c>
      <c r="K20" s="57"/>
      <c r="L20" s="57"/>
      <c r="M20" s="10"/>
      <c r="N20" s="1"/>
      <c r="O20" s="1"/>
      <c r="P20" s="1"/>
      <c r="Q20" s="1"/>
      <c r="R20" s="1"/>
      <c r="S20" s="1"/>
      <c r="T20" s="1"/>
      <c r="U20" s="5"/>
      <c r="V20" s="6"/>
      <c r="W20" s="5"/>
      <c r="X20" s="5"/>
      <c r="Y20" s="5"/>
      <c r="Z20" s="6"/>
      <c r="AA20" s="6"/>
      <c r="AB20" s="5"/>
      <c r="AC20" s="5"/>
      <c r="AD20" s="5"/>
    </row>
    <row r="21">
      <c r="A21" s="1"/>
      <c r="B21" s="1"/>
      <c r="C21" s="1"/>
      <c r="D21" s="1"/>
      <c r="E21" s="1"/>
      <c r="F21" s="94" t="str">
        <f>R7</f>
        <v/>
      </c>
      <c r="G21" s="94" t="str">
        <f>R6</f>
        <v/>
      </c>
      <c r="H21" s="94" t="str">
        <f>R8</f>
        <v/>
      </c>
      <c r="K21" s="57"/>
      <c r="L21" s="57"/>
      <c r="M21" s="57"/>
      <c r="N21" s="1"/>
      <c r="U21" s="5"/>
      <c r="V21" s="5"/>
      <c r="W21" s="5"/>
      <c r="X21" s="5"/>
      <c r="Y21" s="5"/>
      <c r="Z21" s="6"/>
      <c r="AA21" s="6"/>
      <c r="AB21" s="5"/>
      <c r="AC21" s="5"/>
      <c r="AD21" s="5"/>
    </row>
    <row r="22">
      <c r="A22" s="1"/>
      <c r="B22" s="1"/>
      <c r="C22" s="1"/>
      <c r="D22" s="1"/>
      <c r="E22" s="1"/>
      <c r="F22" s="94" t="str">
        <f>I6</f>
        <v/>
      </c>
      <c r="G22" s="94" t="str">
        <f>I6</f>
        <v/>
      </c>
      <c r="H22" s="94" t="str">
        <f>I6</f>
        <v/>
      </c>
      <c r="K22" s="57"/>
      <c r="L22" s="57"/>
      <c r="M22" s="57"/>
      <c r="N22" s="1"/>
      <c r="U22" s="5"/>
      <c r="V22" s="5"/>
      <c r="W22" s="95"/>
      <c r="X22" s="95"/>
      <c r="Y22" s="5"/>
      <c r="Z22" s="6"/>
      <c r="AA22" s="6"/>
      <c r="AB22" s="5"/>
      <c r="AC22" s="5"/>
      <c r="AD22" s="5"/>
    </row>
    <row r="23">
      <c r="A23" s="1"/>
      <c r="B23" s="1"/>
      <c r="C23" s="1"/>
      <c r="D23" s="1"/>
      <c r="E23" s="1"/>
      <c r="F23" s="92"/>
      <c r="G23" s="92"/>
      <c r="H23" s="92"/>
      <c r="I23" s="17"/>
      <c r="J23" s="1"/>
      <c r="K23" s="57"/>
      <c r="L23" s="57"/>
      <c r="M23" s="57"/>
      <c r="N23" s="1"/>
      <c r="U23" s="5"/>
      <c r="V23" s="5"/>
      <c r="W23" s="5"/>
      <c r="X23" s="5"/>
      <c r="Y23" s="5"/>
      <c r="Z23" s="6"/>
      <c r="AA23" s="6"/>
      <c r="AB23" s="5"/>
      <c r="AC23" s="5"/>
      <c r="AD23" s="5"/>
    </row>
    <row r="24">
      <c r="A24" s="1"/>
      <c r="B24" s="1"/>
      <c r="C24" s="1"/>
      <c r="D24" s="1"/>
      <c r="E24" s="1"/>
      <c r="F24" s="17"/>
      <c r="G24" s="17"/>
      <c r="H24" s="17"/>
      <c r="I24" s="17"/>
      <c r="J24" s="1"/>
      <c r="K24" s="57"/>
      <c r="L24" s="57"/>
      <c r="M24" s="57"/>
      <c r="N24" s="12"/>
      <c r="O24" s="12"/>
      <c r="P24" s="13"/>
      <c r="Q24" s="1"/>
      <c r="R24" s="14"/>
      <c r="S24" s="1"/>
      <c r="T24" s="1"/>
      <c r="U24" s="5"/>
      <c r="V24" s="6"/>
      <c r="W24" s="5"/>
      <c r="X24" s="5"/>
      <c r="Y24" s="5"/>
      <c r="Z24" s="6"/>
      <c r="AA24" s="6"/>
      <c r="AB24" s="5"/>
      <c r="AC24" s="5"/>
      <c r="AD24" s="5"/>
    </row>
    <row r="25">
      <c r="A25" s="1"/>
      <c r="B25" s="1"/>
      <c r="C25" s="1"/>
      <c r="D25" s="1"/>
      <c r="E25" s="1"/>
      <c r="F25" s="17"/>
      <c r="G25" s="17"/>
      <c r="H25" s="17"/>
      <c r="I25" s="17"/>
      <c r="J25" s="1"/>
      <c r="K25" s="1"/>
      <c r="L25" s="1"/>
      <c r="M25" s="1"/>
      <c r="N25" s="1"/>
      <c r="O25" s="1"/>
      <c r="P25" s="1"/>
      <c r="Q25" s="1"/>
      <c r="R25" s="14"/>
      <c r="S25" s="1"/>
      <c r="T25" s="1"/>
      <c r="U25" s="5"/>
      <c r="V25" s="6"/>
      <c r="W25" s="95"/>
      <c r="X25" s="5"/>
      <c r="Y25" s="5"/>
      <c r="Z25" s="6"/>
      <c r="AA25" s="6"/>
      <c r="AB25" s="5"/>
      <c r="AC25" s="5"/>
      <c r="AD25" s="5"/>
    </row>
    <row r="26">
      <c r="A26" s="1"/>
      <c r="B26" s="1"/>
      <c r="C26" s="1"/>
      <c r="D26" s="1"/>
      <c r="E26" s="1"/>
      <c r="F26" s="17"/>
      <c r="G26" s="17"/>
      <c r="H26" s="17"/>
      <c r="I26" s="17"/>
      <c r="J26" s="1"/>
      <c r="K26" s="1"/>
      <c r="L26" s="1"/>
      <c r="M26" s="1"/>
      <c r="N26" s="1"/>
      <c r="O26" s="1"/>
      <c r="P26" s="1"/>
      <c r="Q26" s="1"/>
      <c r="R26" s="1"/>
      <c r="S26" s="1"/>
      <c r="T26" s="1"/>
      <c r="U26" s="5"/>
      <c r="V26" s="6"/>
      <c r="W26" s="96"/>
      <c r="X26" s="6"/>
      <c r="Y26" s="6"/>
      <c r="Z26" s="6"/>
      <c r="AA26" s="6"/>
      <c r="AB26" s="5"/>
      <c r="AC26" s="5"/>
      <c r="AD26" s="5"/>
    </row>
    <row r="27">
      <c r="A27" s="1"/>
      <c r="B27" s="1"/>
      <c r="C27" s="1"/>
      <c r="D27" s="1"/>
      <c r="E27" s="1"/>
      <c r="F27" s="17"/>
      <c r="G27" s="17"/>
      <c r="H27" s="17"/>
      <c r="I27" s="17"/>
      <c r="J27" s="1"/>
      <c r="K27" s="1"/>
      <c r="L27" s="1"/>
      <c r="M27" s="1"/>
      <c r="N27" s="1"/>
      <c r="O27" s="1"/>
      <c r="P27" s="1"/>
      <c r="Q27" s="1"/>
      <c r="R27" s="1"/>
      <c r="S27" s="1"/>
      <c r="T27" s="1"/>
      <c r="U27" s="5"/>
      <c r="V27" s="6"/>
      <c r="W27" s="6"/>
      <c r="X27" s="97"/>
      <c r="Y27" s="6"/>
      <c r="Z27" s="6"/>
      <c r="AA27" s="6"/>
      <c r="AB27" s="5"/>
      <c r="AC27" s="5"/>
      <c r="AD27" s="5"/>
    </row>
    <row r="28">
      <c r="A28" s="1"/>
      <c r="B28" s="1"/>
      <c r="C28" s="1"/>
      <c r="D28" s="1"/>
      <c r="E28" s="1"/>
      <c r="F28" s="17"/>
      <c r="G28" s="17"/>
      <c r="H28" s="17"/>
      <c r="I28" s="17"/>
      <c r="J28" s="1"/>
      <c r="K28" s="1"/>
      <c r="L28" s="1"/>
      <c r="M28" s="1"/>
      <c r="N28" s="1"/>
      <c r="O28" s="1"/>
      <c r="P28" s="1"/>
      <c r="Q28" s="1"/>
      <c r="R28" s="1"/>
      <c r="S28" s="1"/>
      <c r="T28" s="1"/>
      <c r="U28" s="5"/>
      <c r="V28" s="6"/>
      <c r="W28" s="97"/>
      <c r="X28" s="97"/>
      <c r="Y28" s="6"/>
      <c r="Z28" s="6"/>
      <c r="AA28" s="97"/>
      <c r="AB28" s="5"/>
      <c r="AC28" s="5"/>
      <c r="AD28" s="5"/>
    </row>
    <row r="29">
      <c r="A29" s="1"/>
      <c r="B29" s="1"/>
      <c r="C29" s="1"/>
      <c r="D29" s="1"/>
      <c r="E29" s="1"/>
      <c r="F29" s="98"/>
      <c r="G29" s="1"/>
      <c r="H29" s="1"/>
      <c r="I29" s="1"/>
      <c r="J29" s="1"/>
      <c r="K29" s="1"/>
      <c r="L29" s="1"/>
      <c r="M29" s="1"/>
      <c r="N29" s="1"/>
      <c r="O29" s="1"/>
      <c r="P29" s="1"/>
      <c r="Q29" s="1"/>
      <c r="R29" s="1"/>
      <c r="S29" s="1"/>
      <c r="T29" s="1"/>
      <c r="U29" s="5"/>
      <c r="V29" s="6"/>
      <c r="W29" s="6"/>
      <c r="X29" s="6"/>
      <c r="Y29" s="6"/>
      <c r="Z29" s="6"/>
      <c r="AA29" s="6"/>
      <c r="AB29" s="5"/>
      <c r="AC29" s="5"/>
      <c r="AD29" s="5"/>
    </row>
    <row r="30">
      <c r="A30" s="1"/>
      <c r="B30" s="1"/>
      <c r="C30" s="1"/>
      <c r="D30" s="1"/>
      <c r="E30" s="1"/>
      <c r="F30" s="1"/>
      <c r="G30" s="1"/>
      <c r="H30" s="1"/>
      <c r="I30" s="1"/>
      <c r="J30" s="1"/>
      <c r="K30" s="1"/>
      <c r="L30" s="1"/>
      <c r="M30" s="1"/>
      <c r="N30" s="1"/>
      <c r="O30" s="1"/>
      <c r="P30" s="1"/>
      <c r="Q30" s="1"/>
      <c r="R30" s="1"/>
      <c r="S30" s="1"/>
      <c r="T30" s="1"/>
      <c r="U30" s="5"/>
      <c r="V30" s="6"/>
      <c r="W30" s="6"/>
      <c r="X30" s="6"/>
      <c r="Y30" s="6"/>
      <c r="Z30" s="6"/>
      <c r="AA30" s="6"/>
      <c r="AB30" s="5"/>
      <c r="AC30" s="5"/>
      <c r="AD30" s="5"/>
    </row>
    <row r="31">
      <c r="A31" s="1"/>
      <c r="B31" s="1"/>
      <c r="C31" s="1"/>
      <c r="D31" s="1"/>
      <c r="E31" s="1"/>
      <c r="F31" s="99"/>
      <c r="G31" s="1"/>
      <c r="H31" s="1"/>
      <c r="I31" s="1"/>
      <c r="J31" s="100"/>
      <c r="K31" s="1"/>
      <c r="L31" s="1"/>
      <c r="M31" s="1"/>
      <c r="N31" s="1"/>
      <c r="O31" s="1"/>
      <c r="P31" s="99"/>
      <c r="Q31" s="1"/>
      <c r="R31" s="1"/>
      <c r="S31" s="99"/>
      <c r="T31" s="1"/>
      <c r="U31" s="5"/>
      <c r="V31" s="6"/>
      <c r="W31" s="6"/>
      <c r="X31" s="6"/>
      <c r="Y31" s="6"/>
      <c r="Z31" s="6"/>
      <c r="AA31" s="6"/>
      <c r="AB31" s="5"/>
      <c r="AC31" s="5"/>
      <c r="AD31" s="5"/>
    </row>
    <row r="32">
      <c r="A32" s="1"/>
      <c r="B32" s="101" t="s">
        <v>27</v>
      </c>
      <c r="C32" s="2" t="str">
        <f>IF(E16&lt;&gt;"USD", "Historical Data (converted to USD from " &amp; E16 &amp; ")", "Historical Data")</f>
        <v>Historical Data</v>
      </c>
      <c r="D32" s="3"/>
      <c r="E32" s="3"/>
      <c r="F32" s="3"/>
      <c r="G32" s="3"/>
      <c r="H32" s="3"/>
      <c r="I32" s="3"/>
      <c r="J32" s="3"/>
      <c r="K32" s="3"/>
      <c r="L32" s="3"/>
      <c r="M32" s="3"/>
      <c r="N32" s="3"/>
      <c r="O32" s="3"/>
      <c r="P32" s="3"/>
      <c r="Q32" s="3"/>
      <c r="R32" s="3"/>
      <c r="S32" s="3"/>
      <c r="T32" s="4"/>
      <c r="U32" s="5"/>
      <c r="V32" s="5"/>
      <c r="W32" s="5"/>
      <c r="X32" s="6"/>
      <c r="Y32" s="6"/>
      <c r="Z32" s="5"/>
      <c r="AA32" s="6"/>
      <c r="AB32" s="5"/>
      <c r="AC32" s="102"/>
      <c r="AD32" s="95"/>
    </row>
    <row r="33">
      <c r="A33" s="103"/>
      <c r="B33" s="104" t="str">
        <f>E16</f>
        <v>USD</v>
      </c>
      <c r="C33" s="105"/>
      <c r="D33" s="106" t="s">
        <v>29</v>
      </c>
      <c r="E33" s="107" t="s">
        <v>30</v>
      </c>
      <c r="F33" s="107" t="s">
        <v>31</v>
      </c>
      <c r="G33" s="107" t="s">
        <v>24</v>
      </c>
      <c r="H33" s="107" t="s">
        <v>32</v>
      </c>
      <c r="I33" s="107" t="s">
        <v>33</v>
      </c>
      <c r="J33" s="107" t="s">
        <v>34</v>
      </c>
      <c r="K33" s="108" t="s">
        <v>35</v>
      </c>
      <c r="L33" s="108" t="s">
        <v>36</v>
      </c>
      <c r="M33" s="108" t="s">
        <v>37</v>
      </c>
      <c r="N33" s="108" t="s">
        <v>38</v>
      </c>
      <c r="O33" s="107" t="s">
        <v>39</v>
      </c>
      <c r="P33" s="107" t="s">
        <v>40</v>
      </c>
      <c r="Q33" s="107" t="s">
        <v>41</v>
      </c>
      <c r="R33" s="108" t="s">
        <v>42</v>
      </c>
      <c r="S33" s="107" t="s">
        <v>43</v>
      </c>
      <c r="T33" s="108" t="s">
        <v>44</v>
      </c>
      <c r="U33" s="5"/>
      <c r="V33" s="109" t="s">
        <v>45</v>
      </c>
      <c r="W33" s="109" t="s">
        <v>46</v>
      </c>
      <c r="X33" s="109" t="s">
        <v>47</v>
      </c>
      <c r="Y33" s="109" t="s">
        <v>48</v>
      </c>
      <c r="Z33" s="110" t="s">
        <v>49</v>
      </c>
      <c r="AA33" s="110" t="s">
        <v>50</v>
      </c>
      <c r="AB33" s="110" t="s">
        <v>51</v>
      </c>
      <c r="AC33" s="111"/>
      <c r="AD33" s="112"/>
    </row>
    <row r="34">
      <c r="A34" s="113">
        <v>2007.0</v>
      </c>
      <c r="B34" s="114">
        <f t="array" ref="B34">INDEX('Currency Conversion'!$C$4:$L$23, MATCH(C34, 'Currency Conversion'!$B$4:$B$23, 0), MATCH($E$16, 'Currency Conversion'!$C$3:$L$3, 0))</f>
        <v>1</v>
      </c>
      <c r="C34" s="115">
        <v>2007.0</v>
      </c>
      <c r="D34" s="116" t="str">
        <f t="shared" ref="D34:D53" si="6">IF($C$3="Load",DVH($C$5,"revenue",$C34)*$B34,D34)</f>
        <v>#VALUE!</v>
      </c>
      <c r="E34" s="117"/>
      <c r="F34" s="116" t="str">
        <f t="shared" ref="F34:F53" si="7">IF($C$3="Load",DVH($C$5,"operatingincome",$C34)*$B34,F34)</f>
        <v>#VALUE!</v>
      </c>
      <c r="G34" s="118" t="str">
        <f t="shared" ref="G34:G53" si="8">iferror(F34/D34,"")</f>
        <v/>
      </c>
      <c r="H34" s="116" t="str">
        <f t="shared" ref="H34:H53" si="9">IF($C$3="Load",DVH($C$5,"operatingcashflow",$C34)*$B34,H34)</f>
        <v>#VALUE!</v>
      </c>
      <c r="I34" s="116" t="str">
        <f t="shared" ref="I34:I53" si="10">IF($C$3="Load",iferror(DVH($C$5,"capex",$C34)*$B34,""),I34)</f>
        <v/>
      </c>
      <c r="J34" s="116" t="str">
        <f t="shared" ref="J34:J53" si="11">IF($C$3="Load",iferror(DVH($C$5,"sharebasedcompensation",$C34)*$B34,""),J34)</f>
        <v/>
      </c>
      <c r="K34" s="116" t="str">
        <f t="shared" ref="K34:K53" si="12">iferror(H34-I34-J34,"")</f>
        <v/>
      </c>
      <c r="L34" s="118" t="str">
        <f t="shared" ref="L34:L53" si="13">iferror(K34/D34,"")</f>
        <v/>
      </c>
      <c r="M34" s="116">
        <f t="shared" ref="M34:M53" si="14">IF($C$3="Load",iferror($B34*DVH($C$5,"totaldebt",$C34),"")-iferror($B34*DVH($C$5,"cash",$C34),""),M34)</f>
        <v>0</v>
      </c>
      <c r="N34" s="119" t="str">
        <f t="shared" ref="N34:N53" si="15">iferror(M34/F34,"")</f>
        <v/>
      </c>
      <c r="O34" s="116" t="str">
        <f t="shared" ref="O34:O52" si="16">IF($C$3="Load",DVH($C$5,"Shares",$C34),O34)</f>
        <v>No data available for </v>
      </c>
      <c r="P34" s="116" t="str">
        <f t="shared" ref="P34:P52" si="17">IF($C$3="Load",DVH($C$5,"MarketCap",$C34),P34)</f>
        <v>No data available for </v>
      </c>
      <c r="Q34" s="116" t="str">
        <f t="shared" ref="Q34:Q52" si="18">IF($C$3="Load",DVH($C$5,"EnterpriseValue",$C34),Q34)</f>
        <v>No data available for </v>
      </c>
      <c r="R34" s="118" t="str">
        <f t="shared" ref="R34:R53" si="19">iferror(K34/P34,"")</f>
        <v/>
      </c>
      <c r="S34" s="119" t="str">
        <f t="shared" ref="S34:S53" si="20">iferror(Q34/F34,"")</f>
        <v/>
      </c>
      <c r="T34" s="116" t="str">
        <f t="shared" ref="T34:T53" si="21">IF($C$3="Load",$B34*DVH($C$5,"TangibleBookValue",$C34),T34)</f>
        <v>#VALUE!</v>
      </c>
      <c r="U34" s="82"/>
      <c r="V34" s="120" t="str">
        <f t="shared" ref="V34:V53" si="22">iferror(IF($C$3="Load",DVH($C$5,"grossprofit",$C34)*$B34,V34),"")</f>
        <v/>
      </c>
      <c r="W34" s="121" t="str">
        <f t="shared" ref="W34:W53" si="23">iferror(V34/$D34,"")</f>
        <v/>
      </c>
      <c r="X34" s="120" t="str">
        <f t="shared" ref="X34:X53" si="24">iferror(IF($C$3="Load",DVH($C$5,"netincome",$C34)*$B34,X34),"")</f>
        <v/>
      </c>
      <c r="Y34" s="121" t="str">
        <f t="shared" ref="Y34:Y53" si="25">iferror(X34/$D34,"")</f>
        <v/>
      </c>
      <c r="Z34" s="120" t="str">
        <f t="shared" ref="Z34:Z53" si="26">iferror(if(X34&lt;0,if(F34&lt;0,0,F34),if(F34&gt;X34,(F34-X34),0)),"")</f>
        <v/>
      </c>
      <c r="AA34" s="120" t="str">
        <f t="shared" ref="AA34:AA53" si="27">iferror(if(and(X34&lt;0,F34&lt;0),V34,V34-max(F34,X34)),"")</f>
        <v/>
      </c>
      <c r="AB34" s="120" t="str">
        <f t="shared" ref="AB34:AB53" si="28">iferror(D34-V34,"")</f>
        <v/>
      </c>
      <c r="AC34" s="5"/>
      <c r="AD34" s="5"/>
    </row>
    <row r="35">
      <c r="A35" s="113">
        <v>2008.0</v>
      </c>
      <c r="B35" s="114">
        <f t="array" ref="B35">INDEX('Currency Conversion'!$C$4:$L$23, MATCH(C35, 'Currency Conversion'!$B$4:$B$23, 0), MATCH($E$16, 'Currency Conversion'!$C$3:$L$3, 0))</f>
        <v>1</v>
      </c>
      <c r="C35" s="115">
        <v>2008.0</v>
      </c>
      <c r="D35" s="116" t="str">
        <f t="shared" si="6"/>
        <v>#VALUE!</v>
      </c>
      <c r="E35" s="118" t="str">
        <f t="shared" ref="E35:E52" si="29">iferror(D35/D34-1,"")</f>
        <v/>
      </c>
      <c r="F35" s="116" t="str">
        <f t="shared" si="7"/>
        <v>#VALUE!</v>
      </c>
      <c r="G35" s="118" t="str">
        <f t="shared" si="8"/>
        <v/>
      </c>
      <c r="H35" s="116" t="str">
        <f t="shared" si="9"/>
        <v>#VALUE!</v>
      </c>
      <c r="I35" s="116" t="str">
        <f t="shared" si="10"/>
        <v/>
      </c>
      <c r="J35" s="116" t="str">
        <f t="shared" si="11"/>
        <v/>
      </c>
      <c r="K35" s="116" t="str">
        <f t="shared" si="12"/>
        <v/>
      </c>
      <c r="L35" s="118" t="str">
        <f t="shared" si="13"/>
        <v/>
      </c>
      <c r="M35" s="116">
        <f t="shared" si="14"/>
        <v>0</v>
      </c>
      <c r="N35" s="119" t="str">
        <f t="shared" si="15"/>
        <v/>
      </c>
      <c r="O35" s="116" t="str">
        <f t="shared" si="16"/>
        <v>No data available for </v>
      </c>
      <c r="P35" s="116" t="str">
        <f t="shared" si="17"/>
        <v>No data available for </v>
      </c>
      <c r="Q35" s="116" t="str">
        <f t="shared" si="18"/>
        <v>No data available for </v>
      </c>
      <c r="R35" s="118" t="str">
        <f t="shared" si="19"/>
        <v/>
      </c>
      <c r="S35" s="119" t="str">
        <f t="shared" si="20"/>
        <v/>
      </c>
      <c r="T35" s="116" t="str">
        <f t="shared" si="21"/>
        <v>#VALUE!</v>
      </c>
      <c r="U35" s="82"/>
      <c r="V35" s="120" t="str">
        <f t="shared" si="22"/>
        <v/>
      </c>
      <c r="W35" s="121" t="str">
        <f t="shared" si="23"/>
        <v/>
      </c>
      <c r="X35" s="120" t="str">
        <f t="shared" si="24"/>
        <v/>
      </c>
      <c r="Y35" s="121" t="str">
        <f t="shared" si="25"/>
        <v/>
      </c>
      <c r="Z35" s="120" t="str">
        <f t="shared" si="26"/>
        <v/>
      </c>
      <c r="AA35" s="120" t="str">
        <f t="shared" si="27"/>
        <v/>
      </c>
      <c r="AB35" s="120" t="str">
        <f t="shared" si="28"/>
        <v/>
      </c>
      <c r="AC35" s="5"/>
      <c r="AD35" s="5"/>
    </row>
    <row r="36">
      <c r="A36" s="113">
        <v>2009.0</v>
      </c>
      <c r="B36" s="114">
        <f t="array" ref="B36">INDEX('Currency Conversion'!$C$4:$L$23, MATCH(C36, 'Currency Conversion'!$B$4:$B$23, 0), MATCH($E$16, 'Currency Conversion'!$C$3:$L$3, 0))</f>
        <v>1</v>
      </c>
      <c r="C36" s="115">
        <v>2009.0</v>
      </c>
      <c r="D36" s="116" t="str">
        <f t="shared" si="6"/>
        <v>#VALUE!</v>
      </c>
      <c r="E36" s="118" t="str">
        <f t="shared" si="29"/>
        <v/>
      </c>
      <c r="F36" s="116" t="str">
        <f t="shared" si="7"/>
        <v>#VALUE!</v>
      </c>
      <c r="G36" s="118" t="str">
        <f t="shared" si="8"/>
        <v/>
      </c>
      <c r="H36" s="116" t="str">
        <f t="shared" si="9"/>
        <v>#VALUE!</v>
      </c>
      <c r="I36" s="116" t="str">
        <f t="shared" si="10"/>
        <v/>
      </c>
      <c r="J36" s="116" t="str">
        <f t="shared" si="11"/>
        <v/>
      </c>
      <c r="K36" s="116" t="str">
        <f t="shared" si="12"/>
        <v/>
      </c>
      <c r="L36" s="118" t="str">
        <f t="shared" si="13"/>
        <v/>
      </c>
      <c r="M36" s="116">
        <f t="shared" si="14"/>
        <v>0</v>
      </c>
      <c r="N36" s="119" t="str">
        <f t="shared" si="15"/>
        <v/>
      </c>
      <c r="O36" s="116" t="str">
        <f t="shared" si="16"/>
        <v>No data available for </v>
      </c>
      <c r="P36" s="116" t="str">
        <f t="shared" si="17"/>
        <v>No data available for </v>
      </c>
      <c r="Q36" s="116" t="str">
        <f t="shared" si="18"/>
        <v>No data available for </v>
      </c>
      <c r="R36" s="118" t="str">
        <f t="shared" si="19"/>
        <v/>
      </c>
      <c r="S36" s="119" t="str">
        <f t="shared" si="20"/>
        <v/>
      </c>
      <c r="T36" s="116" t="str">
        <f t="shared" si="21"/>
        <v>#VALUE!</v>
      </c>
      <c r="U36" s="82"/>
      <c r="V36" s="120" t="str">
        <f t="shared" si="22"/>
        <v/>
      </c>
      <c r="W36" s="121" t="str">
        <f t="shared" si="23"/>
        <v/>
      </c>
      <c r="X36" s="120" t="str">
        <f t="shared" si="24"/>
        <v/>
      </c>
      <c r="Y36" s="121" t="str">
        <f t="shared" si="25"/>
        <v/>
      </c>
      <c r="Z36" s="120" t="str">
        <f t="shared" si="26"/>
        <v/>
      </c>
      <c r="AA36" s="120" t="str">
        <f t="shared" si="27"/>
        <v/>
      </c>
      <c r="AB36" s="120" t="str">
        <f t="shared" si="28"/>
        <v/>
      </c>
      <c r="AC36" s="5"/>
      <c r="AD36" s="5"/>
    </row>
    <row r="37">
      <c r="A37" s="113">
        <v>2010.0</v>
      </c>
      <c r="B37" s="114">
        <f t="array" ref="B37">INDEX('Currency Conversion'!$C$4:$L$23, MATCH(C37, 'Currency Conversion'!$B$4:$B$23, 0), MATCH($E$16, 'Currency Conversion'!$C$3:$L$3, 0))</f>
        <v>1</v>
      </c>
      <c r="C37" s="115">
        <v>2010.0</v>
      </c>
      <c r="D37" s="116" t="str">
        <f t="shared" si="6"/>
        <v>#VALUE!</v>
      </c>
      <c r="E37" s="118" t="str">
        <f t="shared" si="29"/>
        <v/>
      </c>
      <c r="F37" s="116" t="str">
        <f t="shared" si="7"/>
        <v>#VALUE!</v>
      </c>
      <c r="G37" s="118" t="str">
        <f t="shared" si="8"/>
        <v/>
      </c>
      <c r="H37" s="116" t="str">
        <f t="shared" si="9"/>
        <v>#VALUE!</v>
      </c>
      <c r="I37" s="116" t="str">
        <f t="shared" si="10"/>
        <v/>
      </c>
      <c r="J37" s="116" t="str">
        <f t="shared" si="11"/>
        <v/>
      </c>
      <c r="K37" s="116" t="str">
        <f t="shared" si="12"/>
        <v/>
      </c>
      <c r="L37" s="118" t="str">
        <f t="shared" si="13"/>
        <v/>
      </c>
      <c r="M37" s="116">
        <f t="shared" si="14"/>
        <v>0</v>
      </c>
      <c r="N37" s="119" t="str">
        <f t="shared" si="15"/>
        <v/>
      </c>
      <c r="O37" s="116" t="str">
        <f t="shared" si="16"/>
        <v>No data available for </v>
      </c>
      <c r="P37" s="116" t="str">
        <f t="shared" si="17"/>
        <v>No data available for </v>
      </c>
      <c r="Q37" s="116" t="str">
        <f t="shared" si="18"/>
        <v>No data available for </v>
      </c>
      <c r="R37" s="118" t="str">
        <f t="shared" si="19"/>
        <v/>
      </c>
      <c r="S37" s="119" t="str">
        <f t="shared" si="20"/>
        <v/>
      </c>
      <c r="T37" s="116" t="str">
        <f t="shared" si="21"/>
        <v>#VALUE!</v>
      </c>
      <c r="U37" s="82"/>
      <c r="V37" s="120" t="str">
        <f t="shared" si="22"/>
        <v/>
      </c>
      <c r="W37" s="121" t="str">
        <f t="shared" si="23"/>
        <v/>
      </c>
      <c r="X37" s="120" t="str">
        <f t="shared" si="24"/>
        <v/>
      </c>
      <c r="Y37" s="121" t="str">
        <f t="shared" si="25"/>
        <v/>
      </c>
      <c r="Z37" s="120" t="str">
        <f t="shared" si="26"/>
        <v/>
      </c>
      <c r="AA37" s="120" t="str">
        <f t="shared" si="27"/>
        <v/>
      </c>
      <c r="AB37" s="120" t="str">
        <f t="shared" si="28"/>
        <v/>
      </c>
      <c r="AC37" s="5"/>
      <c r="AD37" s="5"/>
    </row>
    <row r="38">
      <c r="A38" s="113">
        <v>2011.0</v>
      </c>
      <c r="B38" s="114">
        <f t="array" ref="B38">INDEX('Currency Conversion'!$C$4:$L$23, MATCH(C38, 'Currency Conversion'!$B$4:$B$23, 0), MATCH($E$16, 'Currency Conversion'!$C$3:$L$3, 0))</f>
        <v>1</v>
      </c>
      <c r="C38" s="115">
        <v>2011.0</v>
      </c>
      <c r="D38" s="116" t="str">
        <f t="shared" si="6"/>
        <v>#VALUE!</v>
      </c>
      <c r="E38" s="118" t="str">
        <f t="shared" si="29"/>
        <v/>
      </c>
      <c r="F38" s="116" t="str">
        <f t="shared" si="7"/>
        <v>#VALUE!</v>
      </c>
      <c r="G38" s="118" t="str">
        <f t="shared" si="8"/>
        <v/>
      </c>
      <c r="H38" s="116" t="str">
        <f t="shared" si="9"/>
        <v>#VALUE!</v>
      </c>
      <c r="I38" s="116" t="str">
        <f t="shared" si="10"/>
        <v/>
      </c>
      <c r="J38" s="116" t="str">
        <f t="shared" si="11"/>
        <v/>
      </c>
      <c r="K38" s="116" t="str">
        <f t="shared" si="12"/>
        <v/>
      </c>
      <c r="L38" s="118" t="str">
        <f t="shared" si="13"/>
        <v/>
      </c>
      <c r="M38" s="116">
        <f t="shared" si="14"/>
        <v>0</v>
      </c>
      <c r="N38" s="119" t="str">
        <f t="shared" si="15"/>
        <v/>
      </c>
      <c r="O38" s="116" t="str">
        <f t="shared" si="16"/>
        <v>No data available for </v>
      </c>
      <c r="P38" s="116" t="str">
        <f t="shared" si="17"/>
        <v>No data available for </v>
      </c>
      <c r="Q38" s="116" t="str">
        <f t="shared" si="18"/>
        <v>No data available for </v>
      </c>
      <c r="R38" s="118" t="str">
        <f t="shared" si="19"/>
        <v/>
      </c>
      <c r="S38" s="119" t="str">
        <f t="shared" si="20"/>
        <v/>
      </c>
      <c r="T38" s="116" t="str">
        <f t="shared" si="21"/>
        <v>#VALUE!</v>
      </c>
      <c r="U38" s="82"/>
      <c r="V38" s="120" t="str">
        <f t="shared" si="22"/>
        <v/>
      </c>
      <c r="W38" s="121" t="str">
        <f t="shared" si="23"/>
        <v/>
      </c>
      <c r="X38" s="120" t="str">
        <f t="shared" si="24"/>
        <v/>
      </c>
      <c r="Y38" s="121" t="str">
        <f t="shared" si="25"/>
        <v/>
      </c>
      <c r="Z38" s="120" t="str">
        <f t="shared" si="26"/>
        <v/>
      </c>
      <c r="AA38" s="120" t="str">
        <f t="shared" si="27"/>
        <v/>
      </c>
      <c r="AB38" s="120" t="str">
        <f t="shared" si="28"/>
        <v/>
      </c>
      <c r="AC38" s="5"/>
      <c r="AD38" s="5"/>
    </row>
    <row r="39">
      <c r="A39" s="113">
        <v>2012.0</v>
      </c>
      <c r="B39" s="114">
        <f t="array" ref="B39">INDEX('Currency Conversion'!$C$4:$L$23, MATCH(C39, 'Currency Conversion'!$B$4:$B$23, 0), MATCH($E$16, 'Currency Conversion'!$C$3:$L$3, 0))</f>
        <v>1</v>
      </c>
      <c r="C39" s="115">
        <v>2012.0</v>
      </c>
      <c r="D39" s="116" t="str">
        <f t="shared" si="6"/>
        <v>#VALUE!</v>
      </c>
      <c r="E39" s="118" t="str">
        <f t="shared" si="29"/>
        <v/>
      </c>
      <c r="F39" s="116" t="str">
        <f t="shared" si="7"/>
        <v>#VALUE!</v>
      </c>
      <c r="G39" s="118" t="str">
        <f t="shared" si="8"/>
        <v/>
      </c>
      <c r="H39" s="116" t="str">
        <f t="shared" si="9"/>
        <v>#VALUE!</v>
      </c>
      <c r="I39" s="116" t="str">
        <f t="shared" si="10"/>
        <v/>
      </c>
      <c r="J39" s="116" t="str">
        <f t="shared" si="11"/>
        <v/>
      </c>
      <c r="K39" s="116" t="str">
        <f t="shared" si="12"/>
        <v/>
      </c>
      <c r="L39" s="118" t="str">
        <f t="shared" si="13"/>
        <v/>
      </c>
      <c r="M39" s="116">
        <f t="shared" si="14"/>
        <v>0</v>
      </c>
      <c r="N39" s="119" t="str">
        <f t="shared" si="15"/>
        <v/>
      </c>
      <c r="O39" s="116" t="str">
        <f t="shared" si="16"/>
        <v>No data available for </v>
      </c>
      <c r="P39" s="116" t="str">
        <f t="shared" si="17"/>
        <v>No data available for </v>
      </c>
      <c r="Q39" s="116" t="str">
        <f t="shared" si="18"/>
        <v>No data available for </v>
      </c>
      <c r="R39" s="118" t="str">
        <f t="shared" si="19"/>
        <v/>
      </c>
      <c r="S39" s="119" t="str">
        <f t="shared" si="20"/>
        <v/>
      </c>
      <c r="T39" s="116" t="str">
        <f t="shared" si="21"/>
        <v>#VALUE!</v>
      </c>
      <c r="U39" s="82"/>
      <c r="V39" s="120" t="str">
        <f t="shared" si="22"/>
        <v/>
      </c>
      <c r="W39" s="121" t="str">
        <f t="shared" si="23"/>
        <v/>
      </c>
      <c r="X39" s="120" t="str">
        <f t="shared" si="24"/>
        <v/>
      </c>
      <c r="Y39" s="121" t="str">
        <f t="shared" si="25"/>
        <v/>
      </c>
      <c r="Z39" s="120" t="str">
        <f t="shared" si="26"/>
        <v/>
      </c>
      <c r="AA39" s="120" t="str">
        <f t="shared" si="27"/>
        <v/>
      </c>
      <c r="AB39" s="120" t="str">
        <f t="shared" si="28"/>
        <v/>
      </c>
      <c r="AC39" s="5"/>
      <c r="AD39" s="5"/>
    </row>
    <row r="40">
      <c r="A40" s="113">
        <v>2013.0</v>
      </c>
      <c r="B40" s="114">
        <f t="array" ref="B40">INDEX('Currency Conversion'!$C$4:$L$23, MATCH(C40, 'Currency Conversion'!$B$4:$B$23, 0), MATCH($E$16, 'Currency Conversion'!$C$3:$L$3, 0))</f>
        <v>1</v>
      </c>
      <c r="C40" s="115">
        <v>2013.0</v>
      </c>
      <c r="D40" s="116" t="str">
        <f t="shared" si="6"/>
        <v>#VALUE!</v>
      </c>
      <c r="E40" s="118" t="str">
        <f t="shared" si="29"/>
        <v/>
      </c>
      <c r="F40" s="116" t="str">
        <f t="shared" si="7"/>
        <v>#VALUE!</v>
      </c>
      <c r="G40" s="118" t="str">
        <f t="shared" si="8"/>
        <v/>
      </c>
      <c r="H40" s="116" t="str">
        <f t="shared" si="9"/>
        <v>#VALUE!</v>
      </c>
      <c r="I40" s="116" t="str">
        <f t="shared" si="10"/>
        <v/>
      </c>
      <c r="J40" s="116" t="str">
        <f t="shared" si="11"/>
        <v/>
      </c>
      <c r="K40" s="116" t="str">
        <f t="shared" si="12"/>
        <v/>
      </c>
      <c r="L40" s="118" t="str">
        <f t="shared" si="13"/>
        <v/>
      </c>
      <c r="M40" s="116">
        <f t="shared" si="14"/>
        <v>0</v>
      </c>
      <c r="N40" s="119" t="str">
        <f t="shared" si="15"/>
        <v/>
      </c>
      <c r="O40" s="116" t="str">
        <f t="shared" si="16"/>
        <v>No data available for </v>
      </c>
      <c r="P40" s="116" t="str">
        <f t="shared" si="17"/>
        <v>No data available for </v>
      </c>
      <c r="Q40" s="116" t="str">
        <f t="shared" si="18"/>
        <v>No data available for </v>
      </c>
      <c r="R40" s="118" t="str">
        <f t="shared" si="19"/>
        <v/>
      </c>
      <c r="S40" s="119" t="str">
        <f t="shared" si="20"/>
        <v/>
      </c>
      <c r="T40" s="116" t="str">
        <f t="shared" si="21"/>
        <v>#VALUE!</v>
      </c>
      <c r="U40" s="82"/>
      <c r="V40" s="120" t="str">
        <f t="shared" si="22"/>
        <v/>
      </c>
      <c r="W40" s="121" t="str">
        <f t="shared" si="23"/>
        <v/>
      </c>
      <c r="X40" s="120" t="str">
        <f t="shared" si="24"/>
        <v/>
      </c>
      <c r="Y40" s="121" t="str">
        <f t="shared" si="25"/>
        <v/>
      </c>
      <c r="Z40" s="120" t="str">
        <f t="shared" si="26"/>
        <v/>
      </c>
      <c r="AA40" s="120" t="str">
        <f t="shared" si="27"/>
        <v/>
      </c>
      <c r="AB40" s="120" t="str">
        <f t="shared" si="28"/>
        <v/>
      </c>
      <c r="AC40" s="5"/>
      <c r="AD40" s="5"/>
    </row>
    <row r="41">
      <c r="A41" s="113">
        <v>2014.0</v>
      </c>
      <c r="B41" s="114">
        <f t="array" ref="B41">INDEX('Currency Conversion'!$C$4:$L$23, MATCH(C41, 'Currency Conversion'!$B$4:$B$23, 0), MATCH($E$16, 'Currency Conversion'!$C$3:$L$3, 0))</f>
        <v>1</v>
      </c>
      <c r="C41" s="115">
        <v>2014.0</v>
      </c>
      <c r="D41" s="116" t="str">
        <f t="shared" si="6"/>
        <v>#VALUE!</v>
      </c>
      <c r="E41" s="118" t="str">
        <f t="shared" si="29"/>
        <v/>
      </c>
      <c r="F41" s="116" t="str">
        <f t="shared" si="7"/>
        <v>#VALUE!</v>
      </c>
      <c r="G41" s="118" t="str">
        <f t="shared" si="8"/>
        <v/>
      </c>
      <c r="H41" s="116" t="str">
        <f t="shared" si="9"/>
        <v>#VALUE!</v>
      </c>
      <c r="I41" s="116" t="str">
        <f t="shared" si="10"/>
        <v/>
      </c>
      <c r="J41" s="116" t="str">
        <f t="shared" si="11"/>
        <v/>
      </c>
      <c r="K41" s="116" t="str">
        <f t="shared" si="12"/>
        <v/>
      </c>
      <c r="L41" s="118" t="str">
        <f t="shared" si="13"/>
        <v/>
      </c>
      <c r="M41" s="116">
        <f t="shared" si="14"/>
        <v>0</v>
      </c>
      <c r="N41" s="119" t="str">
        <f t="shared" si="15"/>
        <v/>
      </c>
      <c r="O41" s="116" t="str">
        <f t="shared" si="16"/>
        <v>No data available for </v>
      </c>
      <c r="P41" s="116" t="str">
        <f t="shared" si="17"/>
        <v>No data available for </v>
      </c>
      <c r="Q41" s="116" t="str">
        <f t="shared" si="18"/>
        <v>No data available for </v>
      </c>
      <c r="R41" s="118" t="str">
        <f t="shared" si="19"/>
        <v/>
      </c>
      <c r="S41" s="119" t="str">
        <f t="shared" si="20"/>
        <v/>
      </c>
      <c r="T41" s="116" t="str">
        <f t="shared" si="21"/>
        <v>#VALUE!</v>
      </c>
      <c r="U41" s="82"/>
      <c r="V41" s="120" t="str">
        <f t="shared" si="22"/>
        <v/>
      </c>
      <c r="W41" s="121" t="str">
        <f t="shared" si="23"/>
        <v/>
      </c>
      <c r="X41" s="120" t="str">
        <f t="shared" si="24"/>
        <v/>
      </c>
      <c r="Y41" s="121" t="str">
        <f t="shared" si="25"/>
        <v/>
      </c>
      <c r="Z41" s="120" t="str">
        <f t="shared" si="26"/>
        <v/>
      </c>
      <c r="AA41" s="120" t="str">
        <f t="shared" si="27"/>
        <v/>
      </c>
      <c r="AB41" s="120" t="str">
        <f t="shared" si="28"/>
        <v/>
      </c>
      <c r="AC41" s="5"/>
      <c r="AD41" s="5"/>
    </row>
    <row r="42">
      <c r="A42" s="113">
        <v>2015.0</v>
      </c>
      <c r="B42" s="114">
        <f t="array" ref="B42">INDEX('Currency Conversion'!$C$4:$L$23, MATCH(C42, 'Currency Conversion'!$B$4:$B$23, 0), MATCH($E$16, 'Currency Conversion'!$C$3:$L$3, 0))</f>
        <v>1</v>
      </c>
      <c r="C42" s="115">
        <v>2015.0</v>
      </c>
      <c r="D42" s="116" t="str">
        <f t="shared" si="6"/>
        <v>#VALUE!</v>
      </c>
      <c r="E42" s="118" t="str">
        <f t="shared" si="29"/>
        <v/>
      </c>
      <c r="F42" s="116" t="str">
        <f t="shared" si="7"/>
        <v>#VALUE!</v>
      </c>
      <c r="G42" s="118" t="str">
        <f t="shared" si="8"/>
        <v/>
      </c>
      <c r="H42" s="116" t="str">
        <f t="shared" si="9"/>
        <v>#VALUE!</v>
      </c>
      <c r="I42" s="116" t="str">
        <f t="shared" si="10"/>
        <v/>
      </c>
      <c r="J42" s="116" t="str">
        <f t="shared" si="11"/>
        <v/>
      </c>
      <c r="K42" s="116" t="str">
        <f t="shared" si="12"/>
        <v/>
      </c>
      <c r="L42" s="118" t="str">
        <f t="shared" si="13"/>
        <v/>
      </c>
      <c r="M42" s="116">
        <f t="shared" si="14"/>
        <v>0</v>
      </c>
      <c r="N42" s="119" t="str">
        <f t="shared" si="15"/>
        <v/>
      </c>
      <c r="O42" s="116" t="str">
        <f t="shared" si="16"/>
        <v>No data available for </v>
      </c>
      <c r="P42" s="116" t="str">
        <f t="shared" si="17"/>
        <v>No data available for </v>
      </c>
      <c r="Q42" s="116" t="str">
        <f t="shared" si="18"/>
        <v>No data available for </v>
      </c>
      <c r="R42" s="118" t="str">
        <f t="shared" si="19"/>
        <v/>
      </c>
      <c r="S42" s="119" t="str">
        <f t="shared" si="20"/>
        <v/>
      </c>
      <c r="T42" s="116" t="str">
        <f t="shared" si="21"/>
        <v>#VALUE!</v>
      </c>
      <c r="U42" s="82"/>
      <c r="V42" s="120" t="str">
        <f t="shared" si="22"/>
        <v/>
      </c>
      <c r="W42" s="121" t="str">
        <f t="shared" si="23"/>
        <v/>
      </c>
      <c r="X42" s="120" t="str">
        <f t="shared" si="24"/>
        <v/>
      </c>
      <c r="Y42" s="121" t="str">
        <f t="shared" si="25"/>
        <v/>
      </c>
      <c r="Z42" s="120" t="str">
        <f t="shared" si="26"/>
        <v/>
      </c>
      <c r="AA42" s="120" t="str">
        <f t="shared" si="27"/>
        <v/>
      </c>
      <c r="AB42" s="120" t="str">
        <f t="shared" si="28"/>
        <v/>
      </c>
      <c r="AC42" s="5"/>
      <c r="AD42" s="5"/>
    </row>
    <row r="43">
      <c r="A43" s="113">
        <v>2016.0</v>
      </c>
      <c r="B43" s="114">
        <f t="array" ref="B43">INDEX('Currency Conversion'!$C$4:$L$23, MATCH(C43, 'Currency Conversion'!$B$4:$B$23, 0), MATCH($E$16, 'Currency Conversion'!$C$3:$L$3, 0))</f>
        <v>1</v>
      </c>
      <c r="C43" s="115">
        <v>2016.0</v>
      </c>
      <c r="D43" s="116" t="str">
        <f t="shared" si="6"/>
        <v>#VALUE!</v>
      </c>
      <c r="E43" s="118" t="str">
        <f t="shared" si="29"/>
        <v/>
      </c>
      <c r="F43" s="116" t="str">
        <f t="shared" si="7"/>
        <v>#VALUE!</v>
      </c>
      <c r="G43" s="118" t="str">
        <f t="shared" si="8"/>
        <v/>
      </c>
      <c r="H43" s="116" t="str">
        <f t="shared" si="9"/>
        <v>#VALUE!</v>
      </c>
      <c r="I43" s="116" t="str">
        <f t="shared" si="10"/>
        <v/>
      </c>
      <c r="J43" s="116" t="str">
        <f t="shared" si="11"/>
        <v/>
      </c>
      <c r="K43" s="116" t="str">
        <f t="shared" si="12"/>
        <v/>
      </c>
      <c r="L43" s="118" t="str">
        <f t="shared" si="13"/>
        <v/>
      </c>
      <c r="M43" s="116">
        <f t="shared" si="14"/>
        <v>0</v>
      </c>
      <c r="N43" s="119" t="str">
        <f t="shared" si="15"/>
        <v/>
      </c>
      <c r="O43" s="116" t="str">
        <f t="shared" si="16"/>
        <v>No data available for </v>
      </c>
      <c r="P43" s="116" t="str">
        <f t="shared" si="17"/>
        <v>No data available for </v>
      </c>
      <c r="Q43" s="116" t="str">
        <f t="shared" si="18"/>
        <v>No data available for </v>
      </c>
      <c r="R43" s="118" t="str">
        <f t="shared" si="19"/>
        <v/>
      </c>
      <c r="S43" s="119" t="str">
        <f t="shared" si="20"/>
        <v/>
      </c>
      <c r="T43" s="116" t="str">
        <f t="shared" si="21"/>
        <v>#VALUE!</v>
      </c>
      <c r="U43" s="82"/>
      <c r="V43" s="120" t="str">
        <f t="shared" si="22"/>
        <v/>
      </c>
      <c r="W43" s="121" t="str">
        <f t="shared" si="23"/>
        <v/>
      </c>
      <c r="X43" s="120" t="str">
        <f t="shared" si="24"/>
        <v/>
      </c>
      <c r="Y43" s="121" t="str">
        <f t="shared" si="25"/>
        <v/>
      </c>
      <c r="Z43" s="120" t="str">
        <f t="shared" si="26"/>
        <v/>
      </c>
      <c r="AA43" s="120" t="str">
        <f t="shared" si="27"/>
        <v/>
      </c>
      <c r="AB43" s="120" t="str">
        <f t="shared" si="28"/>
        <v/>
      </c>
      <c r="AC43" s="5"/>
      <c r="AD43" s="5"/>
    </row>
    <row r="44">
      <c r="A44" s="113">
        <v>2017.0</v>
      </c>
      <c r="B44" s="114">
        <f t="array" ref="B44">INDEX('Currency Conversion'!$C$4:$L$23, MATCH(C44, 'Currency Conversion'!$B$4:$B$23, 0), MATCH($E$16, 'Currency Conversion'!$C$3:$L$3, 0))</f>
        <v>1</v>
      </c>
      <c r="C44" s="115">
        <v>2017.0</v>
      </c>
      <c r="D44" s="116" t="str">
        <f t="shared" si="6"/>
        <v>#VALUE!</v>
      </c>
      <c r="E44" s="118" t="str">
        <f t="shared" si="29"/>
        <v/>
      </c>
      <c r="F44" s="116" t="str">
        <f t="shared" si="7"/>
        <v>#VALUE!</v>
      </c>
      <c r="G44" s="118" t="str">
        <f t="shared" si="8"/>
        <v/>
      </c>
      <c r="H44" s="116" t="str">
        <f t="shared" si="9"/>
        <v>#VALUE!</v>
      </c>
      <c r="I44" s="116" t="str">
        <f t="shared" si="10"/>
        <v/>
      </c>
      <c r="J44" s="116" t="str">
        <f t="shared" si="11"/>
        <v/>
      </c>
      <c r="K44" s="116" t="str">
        <f t="shared" si="12"/>
        <v/>
      </c>
      <c r="L44" s="118" t="str">
        <f t="shared" si="13"/>
        <v/>
      </c>
      <c r="M44" s="116">
        <f t="shared" si="14"/>
        <v>0</v>
      </c>
      <c r="N44" s="119" t="str">
        <f t="shared" si="15"/>
        <v/>
      </c>
      <c r="O44" s="116" t="str">
        <f t="shared" si="16"/>
        <v>No data available for </v>
      </c>
      <c r="P44" s="116" t="str">
        <f t="shared" si="17"/>
        <v>No data available for </v>
      </c>
      <c r="Q44" s="116" t="str">
        <f t="shared" si="18"/>
        <v>No data available for </v>
      </c>
      <c r="R44" s="118" t="str">
        <f t="shared" si="19"/>
        <v/>
      </c>
      <c r="S44" s="119" t="str">
        <f t="shared" si="20"/>
        <v/>
      </c>
      <c r="T44" s="116" t="str">
        <f t="shared" si="21"/>
        <v>#VALUE!</v>
      </c>
      <c r="U44" s="82"/>
      <c r="V44" s="120" t="str">
        <f t="shared" si="22"/>
        <v/>
      </c>
      <c r="W44" s="121" t="str">
        <f t="shared" si="23"/>
        <v/>
      </c>
      <c r="X44" s="120" t="str">
        <f t="shared" si="24"/>
        <v/>
      </c>
      <c r="Y44" s="121" t="str">
        <f t="shared" si="25"/>
        <v/>
      </c>
      <c r="Z44" s="120" t="str">
        <f t="shared" si="26"/>
        <v/>
      </c>
      <c r="AA44" s="120" t="str">
        <f t="shared" si="27"/>
        <v/>
      </c>
      <c r="AB44" s="120" t="str">
        <f t="shared" si="28"/>
        <v/>
      </c>
      <c r="AC44" s="5"/>
      <c r="AD44" s="5"/>
    </row>
    <row r="45">
      <c r="A45" s="113">
        <v>2018.0</v>
      </c>
      <c r="B45" s="114">
        <f t="array" ref="B45">INDEX('Currency Conversion'!$C$4:$L$23, MATCH(C45, 'Currency Conversion'!$B$4:$B$23, 0), MATCH($E$16, 'Currency Conversion'!$C$3:$L$3, 0))</f>
        <v>1</v>
      </c>
      <c r="C45" s="115">
        <v>2018.0</v>
      </c>
      <c r="D45" s="116" t="str">
        <f t="shared" si="6"/>
        <v>#VALUE!</v>
      </c>
      <c r="E45" s="118" t="str">
        <f t="shared" si="29"/>
        <v/>
      </c>
      <c r="F45" s="116" t="str">
        <f t="shared" si="7"/>
        <v>#VALUE!</v>
      </c>
      <c r="G45" s="118" t="str">
        <f t="shared" si="8"/>
        <v/>
      </c>
      <c r="H45" s="116" t="str">
        <f t="shared" si="9"/>
        <v>#VALUE!</v>
      </c>
      <c r="I45" s="116" t="str">
        <f t="shared" si="10"/>
        <v/>
      </c>
      <c r="J45" s="116" t="str">
        <f t="shared" si="11"/>
        <v/>
      </c>
      <c r="K45" s="116" t="str">
        <f t="shared" si="12"/>
        <v/>
      </c>
      <c r="L45" s="118" t="str">
        <f t="shared" si="13"/>
        <v/>
      </c>
      <c r="M45" s="116">
        <f t="shared" si="14"/>
        <v>0</v>
      </c>
      <c r="N45" s="119" t="str">
        <f t="shared" si="15"/>
        <v/>
      </c>
      <c r="O45" s="116" t="str">
        <f t="shared" si="16"/>
        <v>No data available for </v>
      </c>
      <c r="P45" s="116" t="str">
        <f t="shared" si="17"/>
        <v>No data available for </v>
      </c>
      <c r="Q45" s="116" t="str">
        <f t="shared" si="18"/>
        <v>No data available for </v>
      </c>
      <c r="R45" s="118" t="str">
        <f t="shared" si="19"/>
        <v/>
      </c>
      <c r="S45" s="119" t="str">
        <f t="shared" si="20"/>
        <v/>
      </c>
      <c r="T45" s="116" t="str">
        <f t="shared" si="21"/>
        <v>#VALUE!</v>
      </c>
      <c r="U45" s="82"/>
      <c r="V45" s="120" t="str">
        <f t="shared" si="22"/>
        <v/>
      </c>
      <c r="W45" s="121" t="str">
        <f t="shared" si="23"/>
        <v/>
      </c>
      <c r="X45" s="120" t="str">
        <f t="shared" si="24"/>
        <v/>
      </c>
      <c r="Y45" s="121" t="str">
        <f t="shared" si="25"/>
        <v/>
      </c>
      <c r="Z45" s="120" t="str">
        <f t="shared" si="26"/>
        <v/>
      </c>
      <c r="AA45" s="120" t="str">
        <f t="shared" si="27"/>
        <v/>
      </c>
      <c r="AB45" s="120" t="str">
        <f t="shared" si="28"/>
        <v/>
      </c>
      <c r="AC45" s="5"/>
      <c r="AD45" s="5"/>
    </row>
    <row r="46">
      <c r="A46" s="113">
        <v>2019.0</v>
      </c>
      <c r="B46" s="114">
        <f t="array" ref="B46">INDEX('Currency Conversion'!$C$4:$L$23, MATCH(C46, 'Currency Conversion'!$B$4:$B$23, 0), MATCH($E$16, 'Currency Conversion'!$C$3:$L$3, 0))</f>
        <v>1</v>
      </c>
      <c r="C46" s="115">
        <v>2019.0</v>
      </c>
      <c r="D46" s="116" t="str">
        <f t="shared" si="6"/>
        <v>#VALUE!</v>
      </c>
      <c r="E46" s="118" t="str">
        <f t="shared" si="29"/>
        <v/>
      </c>
      <c r="F46" s="116" t="str">
        <f t="shared" si="7"/>
        <v>#VALUE!</v>
      </c>
      <c r="G46" s="118" t="str">
        <f t="shared" si="8"/>
        <v/>
      </c>
      <c r="H46" s="116" t="str">
        <f t="shared" si="9"/>
        <v>#VALUE!</v>
      </c>
      <c r="I46" s="116" t="str">
        <f t="shared" si="10"/>
        <v/>
      </c>
      <c r="J46" s="116" t="str">
        <f t="shared" si="11"/>
        <v/>
      </c>
      <c r="K46" s="116" t="str">
        <f t="shared" si="12"/>
        <v/>
      </c>
      <c r="L46" s="118" t="str">
        <f t="shared" si="13"/>
        <v/>
      </c>
      <c r="M46" s="116">
        <f t="shared" si="14"/>
        <v>0</v>
      </c>
      <c r="N46" s="119" t="str">
        <f t="shared" si="15"/>
        <v/>
      </c>
      <c r="O46" s="116" t="str">
        <f t="shared" si="16"/>
        <v>No data available for </v>
      </c>
      <c r="P46" s="116" t="str">
        <f t="shared" si="17"/>
        <v>No data available for </v>
      </c>
      <c r="Q46" s="116" t="str">
        <f t="shared" si="18"/>
        <v>No data available for </v>
      </c>
      <c r="R46" s="118" t="str">
        <f t="shared" si="19"/>
        <v/>
      </c>
      <c r="S46" s="119" t="str">
        <f t="shared" si="20"/>
        <v/>
      </c>
      <c r="T46" s="116" t="str">
        <f t="shared" si="21"/>
        <v>#VALUE!</v>
      </c>
      <c r="U46" s="82"/>
      <c r="V46" s="120" t="str">
        <f t="shared" si="22"/>
        <v/>
      </c>
      <c r="W46" s="121" t="str">
        <f t="shared" si="23"/>
        <v/>
      </c>
      <c r="X46" s="120" t="str">
        <f t="shared" si="24"/>
        <v/>
      </c>
      <c r="Y46" s="121" t="str">
        <f t="shared" si="25"/>
        <v/>
      </c>
      <c r="Z46" s="120" t="str">
        <f t="shared" si="26"/>
        <v/>
      </c>
      <c r="AA46" s="120" t="str">
        <f t="shared" si="27"/>
        <v/>
      </c>
      <c r="AB46" s="120" t="str">
        <f t="shared" si="28"/>
        <v/>
      </c>
      <c r="AC46" s="5"/>
      <c r="AD46" s="5"/>
    </row>
    <row r="47">
      <c r="A47" s="113">
        <v>2020.0</v>
      </c>
      <c r="B47" s="114">
        <f t="array" ref="B47">INDEX('Currency Conversion'!$C$4:$L$23, MATCH(C47, 'Currency Conversion'!$B$4:$B$23, 0), MATCH($E$16, 'Currency Conversion'!$C$3:$L$3, 0))</f>
        <v>1</v>
      </c>
      <c r="C47" s="115">
        <v>2020.0</v>
      </c>
      <c r="D47" s="116" t="str">
        <f t="shared" si="6"/>
        <v>#VALUE!</v>
      </c>
      <c r="E47" s="118" t="str">
        <f t="shared" si="29"/>
        <v/>
      </c>
      <c r="F47" s="116" t="str">
        <f t="shared" si="7"/>
        <v>#VALUE!</v>
      </c>
      <c r="G47" s="118" t="str">
        <f t="shared" si="8"/>
        <v/>
      </c>
      <c r="H47" s="116" t="str">
        <f t="shared" si="9"/>
        <v>#VALUE!</v>
      </c>
      <c r="I47" s="116" t="str">
        <f t="shared" si="10"/>
        <v/>
      </c>
      <c r="J47" s="116" t="str">
        <f t="shared" si="11"/>
        <v/>
      </c>
      <c r="K47" s="116" t="str">
        <f t="shared" si="12"/>
        <v/>
      </c>
      <c r="L47" s="118" t="str">
        <f t="shared" si="13"/>
        <v/>
      </c>
      <c r="M47" s="116">
        <f t="shared" si="14"/>
        <v>0</v>
      </c>
      <c r="N47" s="119" t="str">
        <f t="shared" si="15"/>
        <v/>
      </c>
      <c r="O47" s="116" t="str">
        <f t="shared" si="16"/>
        <v>No data available for </v>
      </c>
      <c r="P47" s="116" t="str">
        <f t="shared" si="17"/>
        <v>No data available for </v>
      </c>
      <c r="Q47" s="116" t="str">
        <f t="shared" si="18"/>
        <v>No data available for </v>
      </c>
      <c r="R47" s="118" t="str">
        <f t="shared" si="19"/>
        <v/>
      </c>
      <c r="S47" s="119" t="str">
        <f t="shared" si="20"/>
        <v/>
      </c>
      <c r="T47" s="116" t="str">
        <f t="shared" si="21"/>
        <v>#VALUE!</v>
      </c>
      <c r="U47" s="82"/>
      <c r="V47" s="120" t="str">
        <f t="shared" si="22"/>
        <v/>
      </c>
      <c r="W47" s="121" t="str">
        <f t="shared" si="23"/>
        <v/>
      </c>
      <c r="X47" s="120" t="str">
        <f t="shared" si="24"/>
        <v/>
      </c>
      <c r="Y47" s="121" t="str">
        <f t="shared" si="25"/>
        <v/>
      </c>
      <c r="Z47" s="120" t="str">
        <f t="shared" si="26"/>
        <v/>
      </c>
      <c r="AA47" s="120" t="str">
        <f t="shared" si="27"/>
        <v/>
      </c>
      <c r="AB47" s="120" t="str">
        <f t="shared" si="28"/>
        <v/>
      </c>
      <c r="AC47" s="5"/>
      <c r="AD47" s="5"/>
    </row>
    <row r="48">
      <c r="A48" s="113">
        <v>2021.0</v>
      </c>
      <c r="B48" s="114">
        <f t="array" ref="B48">INDEX('Currency Conversion'!$C$4:$L$23, MATCH(C48, 'Currency Conversion'!$B$4:$B$23, 0), MATCH($E$16, 'Currency Conversion'!$C$3:$L$3, 0))</f>
        <v>1</v>
      </c>
      <c r="C48" s="115">
        <v>2021.0</v>
      </c>
      <c r="D48" s="116" t="str">
        <f t="shared" si="6"/>
        <v>#VALUE!</v>
      </c>
      <c r="E48" s="118" t="str">
        <f t="shared" si="29"/>
        <v/>
      </c>
      <c r="F48" s="116" t="str">
        <f t="shared" si="7"/>
        <v>#VALUE!</v>
      </c>
      <c r="G48" s="118" t="str">
        <f t="shared" si="8"/>
        <v/>
      </c>
      <c r="H48" s="116" t="str">
        <f t="shared" si="9"/>
        <v>#VALUE!</v>
      </c>
      <c r="I48" s="116" t="str">
        <f t="shared" si="10"/>
        <v/>
      </c>
      <c r="J48" s="116" t="str">
        <f t="shared" si="11"/>
        <v/>
      </c>
      <c r="K48" s="116" t="str">
        <f t="shared" si="12"/>
        <v/>
      </c>
      <c r="L48" s="118" t="str">
        <f t="shared" si="13"/>
        <v/>
      </c>
      <c r="M48" s="116">
        <f t="shared" si="14"/>
        <v>0</v>
      </c>
      <c r="N48" s="119" t="str">
        <f t="shared" si="15"/>
        <v/>
      </c>
      <c r="O48" s="116" t="str">
        <f t="shared" si="16"/>
        <v>No data available for </v>
      </c>
      <c r="P48" s="116" t="str">
        <f t="shared" si="17"/>
        <v>No data available for </v>
      </c>
      <c r="Q48" s="116" t="str">
        <f t="shared" si="18"/>
        <v>No data available for </v>
      </c>
      <c r="R48" s="118" t="str">
        <f t="shared" si="19"/>
        <v/>
      </c>
      <c r="S48" s="119" t="str">
        <f t="shared" si="20"/>
        <v/>
      </c>
      <c r="T48" s="116" t="str">
        <f t="shared" si="21"/>
        <v>#VALUE!</v>
      </c>
      <c r="U48" s="82"/>
      <c r="V48" s="120" t="str">
        <f t="shared" si="22"/>
        <v/>
      </c>
      <c r="W48" s="121" t="str">
        <f t="shared" si="23"/>
        <v/>
      </c>
      <c r="X48" s="120" t="str">
        <f t="shared" si="24"/>
        <v/>
      </c>
      <c r="Y48" s="121" t="str">
        <f t="shared" si="25"/>
        <v/>
      </c>
      <c r="Z48" s="120" t="str">
        <f t="shared" si="26"/>
        <v/>
      </c>
      <c r="AA48" s="120" t="str">
        <f t="shared" si="27"/>
        <v/>
      </c>
      <c r="AB48" s="120" t="str">
        <f t="shared" si="28"/>
        <v/>
      </c>
      <c r="AC48" s="5"/>
      <c r="AD48" s="5"/>
    </row>
    <row r="49">
      <c r="A49" s="113">
        <v>2022.0</v>
      </c>
      <c r="B49" s="114">
        <f t="array" ref="B49">INDEX('Currency Conversion'!$C$4:$L$23, MATCH(C49, 'Currency Conversion'!$B$4:$B$23, 0), MATCH($E$16, 'Currency Conversion'!$C$3:$L$3, 0))</f>
        <v>1</v>
      </c>
      <c r="C49" s="115">
        <v>2022.0</v>
      </c>
      <c r="D49" s="116" t="str">
        <f t="shared" si="6"/>
        <v>#VALUE!</v>
      </c>
      <c r="E49" s="118" t="str">
        <f t="shared" si="29"/>
        <v/>
      </c>
      <c r="F49" s="116" t="str">
        <f t="shared" si="7"/>
        <v>#VALUE!</v>
      </c>
      <c r="G49" s="118" t="str">
        <f t="shared" si="8"/>
        <v/>
      </c>
      <c r="H49" s="116" t="str">
        <f t="shared" si="9"/>
        <v>#VALUE!</v>
      </c>
      <c r="I49" s="116" t="str">
        <f t="shared" si="10"/>
        <v/>
      </c>
      <c r="J49" s="116" t="str">
        <f t="shared" si="11"/>
        <v/>
      </c>
      <c r="K49" s="116" t="str">
        <f t="shared" si="12"/>
        <v/>
      </c>
      <c r="L49" s="118" t="str">
        <f t="shared" si="13"/>
        <v/>
      </c>
      <c r="M49" s="116">
        <f t="shared" si="14"/>
        <v>0</v>
      </c>
      <c r="N49" s="119" t="str">
        <f t="shared" si="15"/>
        <v/>
      </c>
      <c r="O49" s="116" t="str">
        <f t="shared" si="16"/>
        <v>No data available for </v>
      </c>
      <c r="P49" s="116" t="str">
        <f t="shared" si="17"/>
        <v>No data available for </v>
      </c>
      <c r="Q49" s="116" t="str">
        <f t="shared" si="18"/>
        <v>No data available for </v>
      </c>
      <c r="R49" s="118" t="str">
        <f t="shared" si="19"/>
        <v/>
      </c>
      <c r="S49" s="119" t="str">
        <f t="shared" si="20"/>
        <v/>
      </c>
      <c r="T49" s="116" t="str">
        <f t="shared" si="21"/>
        <v>#VALUE!</v>
      </c>
      <c r="U49" s="82"/>
      <c r="V49" s="120" t="str">
        <f t="shared" si="22"/>
        <v/>
      </c>
      <c r="W49" s="121" t="str">
        <f t="shared" si="23"/>
        <v/>
      </c>
      <c r="X49" s="120" t="str">
        <f t="shared" si="24"/>
        <v/>
      </c>
      <c r="Y49" s="121" t="str">
        <f t="shared" si="25"/>
        <v/>
      </c>
      <c r="Z49" s="120" t="str">
        <f t="shared" si="26"/>
        <v/>
      </c>
      <c r="AA49" s="120" t="str">
        <f t="shared" si="27"/>
        <v/>
      </c>
      <c r="AB49" s="120" t="str">
        <f t="shared" si="28"/>
        <v/>
      </c>
      <c r="AC49" s="5"/>
      <c r="AD49" s="5"/>
    </row>
    <row r="50">
      <c r="A50" s="113">
        <v>2023.0</v>
      </c>
      <c r="B50" s="114">
        <f t="array" ref="B50">INDEX('Currency Conversion'!$C$4:$L$23, MATCH(C50, 'Currency Conversion'!$B$4:$B$23, 0), MATCH($E$16, 'Currency Conversion'!$C$3:$L$3, 0))</f>
        <v>1</v>
      </c>
      <c r="C50" s="122">
        <v>2023.0</v>
      </c>
      <c r="D50" s="116" t="str">
        <f t="shared" si="6"/>
        <v>#VALUE!</v>
      </c>
      <c r="E50" s="118" t="str">
        <f t="shared" si="29"/>
        <v/>
      </c>
      <c r="F50" s="116" t="str">
        <f t="shared" si="7"/>
        <v>#VALUE!</v>
      </c>
      <c r="G50" s="118" t="str">
        <f t="shared" si="8"/>
        <v/>
      </c>
      <c r="H50" s="116" t="str">
        <f t="shared" si="9"/>
        <v>#VALUE!</v>
      </c>
      <c r="I50" s="116" t="str">
        <f t="shared" si="10"/>
        <v/>
      </c>
      <c r="J50" s="116" t="str">
        <f t="shared" si="11"/>
        <v/>
      </c>
      <c r="K50" s="116" t="str">
        <f t="shared" si="12"/>
        <v/>
      </c>
      <c r="L50" s="118" t="str">
        <f t="shared" si="13"/>
        <v/>
      </c>
      <c r="M50" s="116">
        <f t="shared" si="14"/>
        <v>0</v>
      </c>
      <c r="N50" s="119" t="str">
        <f t="shared" si="15"/>
        <v/>
      </c>
      <c r="O50" s="116" t="str">
        <f t="shared" si="16"/>
        <v>No data available for </v>
      </c>
      <c r="P50" s="116" t="str">
        <f t="shared" si="17"/>
        <v>No data available for </v>
      </c>
      <c r="Q50" s="116" t="str">
        <f t="shared" si="18"/>
        <v>No data available for </v>
      </c>
      <c r="R50" s="118" t="str">
        <f t="shared" si="19"/>
        <v/>
      </c>
      <c r="S50" s="119" t="str">
        <f t="shared" si="20"/>
        <v/>
      </c>
      <c r="T50" s="116" t="str">
        <f t="shared" si="21"/>
        <v>#VALUE!</v>
      </c>
      <c r="U50" s="82"/>
      <c r="V50" s="120" t="str">
        <f t="shared" si="22"/>
        <v/>
      </c>
      <c r="W50" s="121" t="str">
        <f t="shared" si="23"/>
        <v/>
      </c>
      <c r="X50" s="120" t="str">
        <f t="shared" si="24"/>
        <v/>
      </c>
      <c r="Y50" s="121" t="str">
        <f t="shared" si="25"/>
        <v/>
      </c>
      <c r="Z50" s="120" t="str">
        <f t="shared" si="26"/>
        <v/>
      </c>
      <c r="AA50" s="120" t="str">
        <f t="shared" si="27"/>
        <v/>
      </c>
      <c r="AB50" s="120" t="str">
        <f t="shared" si="28"/>
        <v/>
      </c>
      <c r="AC50" s="5"/>
      <c r="AD50" s="5"/>
    </row>
    <row r="51">
      <c r="A51" s="113">
        <v>2024.0</v>
      </c>
      <c r="B51" s="114">
        <f t="array" ref="B51">INDEX('Currency Conversion'!$C$4:$L$23, MATCH(C51, 'Currency Conversion'!$B$4:$B$23, 0), MATCH($E$16, 'Currency Conversion'!$C$3:$L$3, 0))</f>
        <v>1</v>
      </c>
      <c r="C51" s="115">
        <v>2024.0</v>
      </c>
      <c r="D51" s="116" t="str">
        <f t="shared" si="6"/>
        <v>#VALUE!</v>
      </c>
      <c r="E51" s="118" t="str">
        <f t="shared" si="29"/>
        <v/>
      </c>
      <c r="F51" s="116" t="str">
        <f t="shared" si="7"/>
        <v>#VALUE!</v>
      </c>
      <c r="G51" s="118" t="str">
        <f t="shared" si="8"/>
        <v/>
      </c>
      <c r="H51" s="116" t="str">
        <f t="shared" si="9"/>
        <v>#VALUE!</v>
      </c>
      <c r="I51" s="116" t="str">
        <f t="shared" si="10"/>
        <v/>
      </c>
      <c r="J51" s="116" t="str">
        <f t="shared" si="11"/>
        <v/>
      </c>
      <c r="K51" s="116" t="str">
        <f t="shared" si="12"/>
        <v/>
      </c>
      <c r="L51" s="118" t="str">
        <f t="shared" si="13"/>
        <v/>
      </c>
      <c r="M51" s="116">
        <f t="shared" si="14"/>
        <v>0</v>
      </c>
      <c r="N51" s="119" t="str">
        <f t="shared" si="15"/>
        <v/>
      </c>
      <c r="O51" s="116" t="str">
        <f t="shared" si="16"/>
        <v>No data available for </v>
      </c>
      <c r="P51" s="116" t="str">
        <f t="shared" si="17"/>
        <v>No data available for </v>
      </c>
      <c r="Q51" s="116" t="str">
        <f t="shared" si="18"/>
        <v>No data available for </v>
      </c>
      <c r="R51" s="118" t="str">
        <f t="shared" si="19"/>
        <v/>
      </c>
      <c r="S51" s="119" t="str">
        <f t="shared" si="20"/>
        <v/>
      </c>
      <c r="T51" s="116" t="str">
        <f t="shared" si="21"/>
        <v>#VALUE!</v>
      </c>
      <c r="U51" s="82"/>
      <c r="V51" s="120" t="str">
        <f t="shared" si="22"/>
        <v/>
      </c>
      <c r="W51" s="121" t="str">
        <f t="shared" si="23"/>
        <v/>
      </c>
      <c r="X51" s="120" t="str">
        <f t="shared" si="24"/>
        <v/>
      </c>
      <c r="Y51" s="121" t="str">
        <f t="shared" si="25"/>
        <v/>
      </c>
      <c r="Z51" s="120" t="str">
        <f t="shared" si="26"/>
        <v/>
      </c>
      <c r="AA51" s="120" t="str">
        <f t="shared" si="27"/>
        <v/>
      </c>
      <c r="AB51" s="120" t="str">
        <f t="shared" si="28"/>
        <v/>
      </c>
      <c r="AC51" s="5"/>
      <c r="AD51" s="5"/>
    </row>
    <row r="52">
      <c r="A52" s="113">
        <v>2024.0</v>
      </c>
      <c r="B52" s="114">
        <f t="array" ref="B52">INDEX('Currency Conversion'!$C$4:$L$23, MATCH(C52, 'Currency Conversion'!$B$4:$B$23, 0), MATCH($E$16, 'Currency Conversion'!$C$3:$L$3, 0))</f>
        <v>1</v>
      </c>
      <c r="C52" s="122">
        <v>2025.0</v>
      </c>
      <c r="D52" s="116" t="str">
        <f t="shared" si="6"/>
        <v>#VALUE!</v>
      </c>
      <c r="E52" s="118" t="str">
        <f t="shared" si="29"/>
        <v/>
      </c>
      <c r="F52" s="116" t="str">
        <f t="shared" si="7"/>
        <v>#VALUE!</v>
      </c>
      <c r="G52" s="118" t="str">
        <f t="shared" si="8"/>
        <v/>
      </c>
      <c r="H52" s="116" t="str">
        <f t="shared" si="9"/>
        <v>#VALUE!</v>
      </c>
      <c r="I52" s="116" t="str">
        <f t="shared" si="10"/>
        <v/>
      </c>
      <c r="J52" s="116" t="str">
        <f t="shared" si="11"/>
        <v/>
      </c>
      <c r="K52" s="116" t="str">
        <f t="shared" si="12"/>
        <v/>
      </c>
      <c r="L52" s="118" t="str">
        <f t="shared" si="13"/>
        <v/>
      </c>
      <c r="M52" s="116">
        <f t="shared" si="14"/>
        <v>0</v>
      </c>
      <c r="N52" s="119" t="str">
        <f t="shared" si="15"/>
        <v/>
      </c>
      <c r="O52" s="116" t="str">
        <f t="shared" si="16"/>
        <v>No data available for </v>
      </c>
      <c r="P52" s="116" t="str">
        <f t="shared" si="17"/>
        <v>No data available for </v>
      </c>
      <c r="Q52" s="116" t="str">
        <f t="shared" si="18"/>
        <v>No data available for </v>
      </c>
      <c r="R52" s="118" t="str">
        <f t="shared" si="19"/>
        <v/>
      </c>
      <c r="S52" s="119" t="str">
        <f t="shared" si="20"/>
        <v/>
      </c>
      <c r="T52" s="116" t="str">
        <f t="shared" si="21"/>
        <v>#VALUE!</v>
      </c>
      <c r="U52" s="82"/>
      <c r="V52" s="120" t="str">
        <f t="shared" si="22"/>
        <v/>
      </c>
      <c r="W52" s="121" t="str">
        <f t="shared" si="23"/>
        <v/>
      </c>
      <c r="X52" s="120" t="str">
        <f t="shared" si="24"/>
        <v/>
      </c>
      <c r="Y52" s="121" t="str">
        <f t="shared" si="25"/>
        <v/>
      </c>
      <c r="Z52" s="120" t="str">
        <f t="shared" si="26"/>
        <v/>
      </c>
      <c r="AA52" s="120" t="str">
        <f t="shared" si="27"/>
        <v/>
      </c>
      <c r="AB52" s="120" t="str">
        <f t="shared" si="28"/>
        <v/>
      </c>
      <c r="AC52" s="5"/>
      <c r="AD52" s="5"/>
    </row>
    <row r="53">
      <c r="A53" s="113">
        <v>2025.0</v>
      </c>
      <c r="B53" s="114">
        <f t="array" ref="B53">INDEX('Currency Conversion'!$C$4:$L$23, MATCH(C53, 'Currency Conversion'!$B$4:$B$23, 0), MATCH($E$16, 'Currency Conversion'!$C$3:$L$3, 0))</f>
        <v>1</v>
      </c>
      <c r="C53" s="115" t="s">
        <v>52</v>
      </c>
      <c r="D53" s="116" t="str">
        <f t="shared" si="6"/>
        <v>#VALUE!</v>
      </c>
      <c r="E53" s="118" t="str">
        <f>iferror(D53/D51-1,"")</f>
        <v/>
      </c>
      <c r="F53" s="116" t="str">
        <f t="shared" si="7"/>
        <v>#VALUE!</v>
      </c>
      <c r="G53" s="118" t="str">
        <f t="shared" si="8"/>
        <v/>
      </c>
      <c r="H53" s="116" t="str">
        <f t="shared" si="9"/>
        <v>#VALUE!</v>
      </c>
      <c r="I53" s="116" t="str">
        <f t="shared" si="10"/>
        <v/>
      </c>
      <c r="J53" s="116" t="str">
        <f t="shared" si="11"/>
        <v/>
      </c>
      <c r="K53" s="116" t="str">
        <f t="shared" si="12"/>
        <v/>
      </c>
      <c r="L53" s="118" t="str">
        <f t="shared" si="13"/>
        <v/>
      </c>
      <c r="M53" s="116">
        <f t="shared" si="14"/>
        <v>0</v>
      </c>
      <c r="N53" s="119" t="str">
        <f t="shared" si="15"/>
        <v/>
      </c>
      <c r="O53" s="116" t="str">
        <f>IFERROR(__xludf.DUMMYFUNCTION("GOOGLEFINANCE($C$5,""shares"")"),"#N/A")</f>
        <v>#N/A</v>
      </c>
      <c r="P53" s="116" t="str">
        <f>IFERROR(__xludf.DUMMYFUNCTION("GOOGLEFINANCE($C$5,""marketcap"")"),"#N/A")</f>
        <v>#N/A</v>
      </c>
      <c r="Q53" s="116" t="str">
        <f>P53+M53</f>
        <v>#N/A</v>
      </c>
      <c r="R53" s="118" t="str">
        <f t="shared" si="19"/>
        <v/>
      </c>
      <c r="S53" s="119" t="str">
        <f t="shared" si="20"/>
        <v/>
      </c>
      <c r="T53" s="116" t="str">
        <f t="shared" si="21"/>
        <v>#VALUE!</v>
      </c>
      <c r="U53" s="82"/>
      <c r="V53" s="120" t="str">
        <f t="shared" si="22"/>
        <v/>
      </c>
      <c r="W53" s="121" t="str">
        <f t="shared" si="23"/>
        <v/>
      </c>
      <c r="X53" s="120" t="str">
        <f t="shared" si="24"/>
        <v/>
      </c>
      <c r="Y53" s="121" t="str">
        <f t="shared" si="25"/>
        <v/>
      </c>
      <c r="Z53" s="120" t="str">
        <f t="shared" si="26"/>
        <v/>
      </c>
      <c r="AA53" s="120" t="str">
        <f t="shared" si="27"/>
        <v/>
      </c>
      <c r="AB53" s="120" t="str">
        <f t="shared" si="28"/>
        <v/>
      </c>
      <c r="AC53" s="123" t="str">
        <f>IFERROR(__xludf.DUMMYFUNCTION("IF($C$3=""Load"",GOOGLEFINANCE(C4,""price"",today()-7*365,today(),""weekly""),Arrayformula(AC53:AD449))"),"#N/A")</f>
        <v>#N/A</v>
      </c>
      <c r="AD53" s="124"/>
    </row>
    <row r="54">
      <c r="A54" s="1"/>
      <c r="B54" s="1"/>
      <c r="C54" s="125" t="s">
        <v>53</v>
      </c>
      <c r="D54" s="126" t="str">
        <f>iferror((D51/D43)^(1/8)-1,"")</f>
        <v/>
      </c>
      <c r="E54" s="127" t="str">
        <f>iferror(AVERAGE(E50:E53),"")</f>
        <v/>
      </c>
      <c r="F54" s="126" t="str">
        <f>iferror((F51/F43)^(1/8)-1,"")</f>
        <v/>
      </c>
      <c r="G54" s="127" t="str">
        <f>iferror(AVERAGE(G50:G53),"")</f>
        <v/>
      </c>
      <c r="H54" s="126" t="str">
        <f t="shared" ref="H54:K54" si="30">iferror((H51/H43)^(1/8)-1,"")</f>
        <v/>
      </c>
      <c r="I54" s="126" t="str">
        <f t="shared" si="30"/>
        <v/>
      </c>
      <c r="J54" s="126" t="str">
        <f t="shared" si="30"/>
        <v/>
      </c>
      <c r="K54" s="126" t="str">
        <f t="shared" si="30"/>
        <v/>
      </c>
      <c r="L54" s="127" t="str">
        <f>iferror(AVERAGE(L50:L53),"")</f>
        <v/>
      </c>
      <c r="M54" s="126" t="str">
        <f>iferror((M51/M41)^(1/10)-1,"")</f>
        <v/>
      </c>
      <c r="N54" s="128" t="str">
        <f>iferror(AVERAGE(N41:N53),"")</f>
        <v/>
      </c>
      <c r="O54" s="126" t="str">
        <f t="shared" ref="O54:Q54" si="31">iferror((O51/O41)^(1/10)-1,"")</f>
        <v/>
      </c>
      <c r="P54" s="126" t="str">
        <f t="shared" si="31"/>
        <v/>
      </c>
      <c r="Q54" s="126" t="str">
        <f t="shared" si="31"/>
        <v/>
      </c>
      <c r="R54" s="126" t="str">
        <f t="shared" ref="R54:S54" si="32">iferror(TRIMMEAN(R41:R53,0.4),"")</f>
        <v/>
      </c>
      <c r="S54" s="129" t="str">
        <f t="shared" si="32"/>
        <v/>
      </c>
      <c r="T54" s="126" t="str">
        <f>iferror((T51/T41)^(1/10)-1,"")</f>
        <v/>
      </c>
      <c r="U54" s="82"/>
      <c r="V54" s="130"/>
      <c r="W54" s="131"/>
      <c r="X54" s="131"/>
      <c r="Y54" s="131"/>
      <c r="Z54" s="95"/>
      <c r="AA54" s="5"/>
      <c r="AB54" s="5"/>
      <c r="AC54" s="132"/>
      <c r="AD54" s="133"/>
    </row>
    <row r="55" ht="20.25" customHeight="1">
      <c r="A55" s="1"/>
      <c r="B55" s="1"/>
      <c r="C55" s="1"/>
      <c r="D55" s="134" t="str">
        <f>IFERROR(__xludf.DUMMYFUNCTION("sparkline(D43:D53,{""charttype"",""column"";""color"",""0044CC"";""ymin"",min(D43:D53,0);""lastcolor"",""red""})"),"#VALUE!")</f>
        <v>#VALUE!</v>
      </c>
      <c r="E55" s="134" t="str">
        <f>IFERROR(__xludf.DUMMYFUNCTION("sparkline(E43:E53,{""charttype"",""column"";""color"",""0044CC"";""ymin"",min(E43:E53,0);""lastcolor"",""red""})"),"#N/A")</f>
        <v>#N/A</v>
      </c>
      <c r="F55" s="134" t="str">
        <f>IFERROR(__xludf.DUMMYFUNCTION("sparkline(F43:F53,{""charttype"",""column"";""color"",""0044CC"";""ymin"",min(F43:F53,0);""lastcolor"",""red""})"),"#VALUE!")</f>
        <v>#VALUE!</v>
      </c>
      <c r="G55" s="134" t="str">
        <f>IFERROR(__xludf.DUMMYFUNCTION("sparkline(G43:G53,{""charttype"",""column"";""color"",""0044CC"";""ymin"",min(G43:G53,0);""lastcolor"",""red""})"),"#N/A")</f>
        <v>#N/A</v>
      </c>
      <c r="H55" s="134" t="str">
        <f>IFERROR(__xludf.DUMMYFUNCTION("sparkline(H43:H53,{""charttype"",""column"";""color"",""0044CC"";""ymin"",min(H43:H53,0);""lastcolor"",""red""})"),"#VALUE!")</f>
        <v>#VALUE!</v>
      </c>
      <c r="I55" s="134" t="str">
        <f>IFERROR(__xludf.DUMMYFUNCTION("sparkline(I43:I53,{""charttype"",""column"";""color"",""0044CC"";""ymin"",min(I43:I53,0);""lastcolor"",""red""})"),"#N/A")</f>
        <v>#N/A</v>
      </c>
      <c r="J55" s="134" t="str">
        <f>IFERROR(__xludf.DUMMYFUNCTION("sparkline(J43:J53,{""charttype"",""column"";""color"",""0044CC"";""ymin"",min(J43:J53,0);""lastcolor"",""red""})"),"#N/A")</f>
        <v>#N/A</v>
      </c>
      <c r="K55" s="134" t="str">
        <f>IFERROR(__xludf.DUMMYFUNCTION("sparkline(K43:K53,{""charttype"",""column"";""color"",""0044CC"";""ymin"",min(K43:K53,0);""lastcolor"",""red""})"),"#N/A")</f>
        <v>#N/A</v>
      </c>
      <c r="L55" s="134" t="str">
        <f>IFERROR(__xludf.DUMMYFUNCTION("sparkline(L43:L53,{""charttype"",""column"";""color"",""0044CC"";""ymin"",min(L43:L53,0);""lastcolor"",""red""})"),"#N/A")</f>
        <v>#N/A</v>
      </c>
      <c r="M55" s="134" t="str">
        <f>IFERROR(__xludf.DUMMYFUNCTION("sparkline(M43:M53,{""charttype"",""column"";""color"",""0044CC"";""ymin"",min(M43:M53,0);""lastcolor"",""red""})"),"")</f>
        <v/>
      </c>
      <c r="N55" s="134" t="str">
        <f>IFERROR(__xludf.DUMMYFUNCTION("sparkline(N43:N53,{""charttype"",""column"";""color"",""0044CC"";""ymin"",min(N43:N53,0);""lastcolor"",""red""})"),"#N/A")</f>
        <v>#N/A</v>
      </c>
      <c r="O55" s="134" t="str">
        <f>IFERROR(__xludf.DUMMYFUNCTION("sparkline(O43:O53,{""charttype"",""column"";""color"",""0044CC"";""ymin"",min(O43:O53,0);""lastcolor"",""red""})"),"#N/A")</f>
        <v>#N/A</v>
      </c>
      <c r="P55" s="134" t="str">
        <f>IFERROR(__xludf.DUMMYFUNCTION("sparkline(P43:P53,{""charttype"",""column"";""color"",""0044CC"";""ymin"",min(P43:P53,0);""lastcolor"",""red""})"),"#N/A")</f>
        <v>#N/A</v>
      </c>
      <c r="Q55" s="134" t="str">
        <f>IFERROR(__xludf.DUMMYFUNCTION("sparkline(Q43:Q53,{""charttype"",""column"";""color"",""0044CC"";""ymin"",min(Q43:Q53,0);""lastcolor"",""red""})"),"#N/A")</f>
        <v>#N/A</v>
      </c>
      <c r="R55" s="134" t="str">
        <f>IFERROR(__xludf.DUMMYFUNCTION("sparkline(R43:R53,{""charttype"",""column"";""color"",""0044CC"";""ymin"",min(R43:R53,0);""lastcolor"",""red""})"),"#N/A")</f>
        <v>#N/A</v>
      </c>
      <c r="S55" s="134" t="str">
        <f>IFERROR(__xludf.DUMMYFUNCTION("sparkline(S43:S53,{""charttype"",""column"";""color"",""0044CC"";""ymin"",min(S43:S53,0);""lastcolor"",""red""})"),"#N/A")</f>
        <v>#N/A</v>
      </c>
      <c r="T55" s="134" t="str">
        <f>IFERROR(__xludf.DUMMYFUNCTION("sparkline(T43:T53,{""charttype"",""column"";""color"",""0044CC"";""ymin"",min(T43:T53,0);""lastcolor"",""red""})"),"#VALUE!")</f>
        <v>#VALUE!</v>
      </c>
      <c r="U55" s="82"/>
      <c r="V55" s="5"/>
      <c r="W55" s="5"/>
      <c r="X55" s="5"/>
      <c r="Y55" s="5"/>
      <c r="Z55" s="95"/>
      <c r="AA55" s="5"/>
      <c r="AB55" s="5"/>
      <c r="AC55" s="132"/>
      <c r="AD55" s="133"/>
    </row>
    <row r="56" ht="20.25" customHeight="1">
      <c r="A56" s="1"/>
      <c r="B56" s="1"/>
      <c r="C56" s="135">
        <v>1.0</v>
      </c>
      <c r="D56" s="136"/>
      <c r="E56" s="136"/>
      <c r="F56" s="136"/>
      <c r="G56" s="136"/>
      <c r="H56" s="136"/>
      <c r="I56" s="136"/>
      <c r="J56" s="136"/>
      <c r="K56" s="136"/>
      <c r="L56" s="136"/>
      <c r="M56" s="136"/>
      <c r="N56" s="136"/>
      <c r="O56" s="136"/>
      <c r="P56" s="136"/>
      <c r="Q56" s="136"/>
      <c r="R56" s="136"/>
      <c r="S56" s="136"/>
      <c r="T56" s="136"/>
      <c r="U56" s="82"/>
      <c r="V56" s="5"/>
      <c r="W56" s="5"/>
      <c r="X56" s="5"/>
      <c r="Y56" s="5"/>
      <c r="Z56" s="95"/>
      <c r="AA56" s="5"/>
      <c r="AB56" s="5"/>
      <c r="AC56" s="132"/>
      <c r="AD56" s="133"/>
    </row>
    <row r="57" ht="20.25" customHeight="1">
      <c r="A57" s="1"/>
      <c r="B57" s="1"/>
      <c r="D57" s="136"/>
      <c r="E57" s="136"/>
      <c r="F57" s="136"/>
      <c r="G57" s="136"/>
      <c r="H57" s="136"/>
      <c r="I57" s="136"/>
      <c r="J57" s="136"/>
      <c r="K57" s="136"/>
      <c r="L57" s="136"/>
      <c r="M57" s="136"/>
      <c r="N57" s="136"/>
      <c r="O57" s="136"/>
      <c r="P57" s="136"/>
      <c r="Q57" s="136"/>
      <c r="R57" s="136"/>
      <c r="S57" s="136"/>
      <c r="T57" s="136"/>
      <c r="U57" s="82"/>
      <c r="V57" s="5"/>
      <c r="W57" s="5"/>
      <c r="X57" s="5"/>
      <c r="Y57" s="5"/>
      <c r="Z57" s="95"/>
      <c r="AA57" s="5"/>
      <c r="AB57" s="5"/>
      <c r="AC57" s="132"/>
      <c r="AD57" s="133"/>
    </row>
    <row r="58" ht="20.25" customHeight="1">
      <c r="A58" s="1"/>
      <c r="B58" s="1"/>
      <c r="D58" s="137"/>
      <c r="E58" s="137"/>
      <c r="F58" s="137"/>
      <c r="G58" s="137"/>
      <c r="H58" s="137"/>
      <c r="I58" s="137"/>
      <c r="J58" s="137"/>
      <c r="K58" s="137"/>
      <c r="L58" s="137"/>
      <c r="M58" s="137"/>
      <c r="N58" s="137"/>
      <c r="O58" s="137"/>
      <c r="P58" s="137"/>
      <c r="Q58" s="137"/>
      <c r="R58" s="137"/>
      <c r="S58" s="137"/>
      <c r="T58" s="137"/>
      <c r="U58" s="82"/>
      <c r="V58" s="5"/>
      <c r="W58" s="5"/>
      <c r="X58" s="5"/>
      <c r="Y58" s="5"/>
      <c r="Z58" s="95"/>
      <c r="AA58" s="5"/>
      <c r="AB58" s="5"/>
      <c r="AC58" s="132"/>
      <c r="AD58" s="133"/>
    </row>
    <row r="59">
      <c r="A59" s="1"/>
      <c r="B59" s="1"/>
      <c r="C59" s="1"/>
      <c r="D59" s="1"/>
      <c r="E59" s="1"/>
      <c r="F59" s="1"/>
      <c r="G59" s="1"/>
      <c r="H59" s="1"/>
      <c r="I59" s="1"/>
      <c r="J59" s="1"/>
      <c r="K59" s="1"/>
      <c r="L59" s="1"/>
      <c r="M59" s="24"/>
      <c r="N59" s="1"/>
      <c r="O59" s="1"/>
      <c r="P59" s="1"/>
      <c r="Q59" s="1"/>
      <c r="R59" s="1"/>
      <c r="S59" s="1"/>
      <c r="T59" s="1"/>
      <c r="U59" s="5"/>
      <c r="V59" s="5"/>
      <c r="W59" s="5"/>
      <c r="X59" s="5"/>
      <c r="Y59" s="5"/>
      <c r="Z59" s="5"/>
      <c r="AA59" s="5"/>
      <c r="AB59" s="5"/>
      <c r="AC59" s="132"/>
      <c r="AD59" s="133"/>
    </row>
    <row r="60">
      <c r="A60" s="1"/>
      <c r="B60" s="1"/>
      <c r="C60" s="138" t="s">
        <v>54</v>
      </c>
      <c r="D60" s="3"/>
      <c r="E60" s="3"/>
      <c r="F60" s="3"/>
      <c r="G60" s="3"/>
      <c r="H60" s="3"/>
      <c r="I60" s="3"/>
      <c r="J60" s="3"/>
      <c r="K60" s="3"/>
      <c r="L60" s="3"/>
      <c r="M60" s="3"/>
      <c r="N60" s="3"/>
      <c r="O60" s="3"/>
      <c r="P60" s="3"/>
      <c r="Q60" s="3"/>
      <c r="R60" s="3"/>
      <c r="S60" s="3"/>
      <c r="T60" s="4"/>
      <c r="U60" s="5"/>
      <c r="V60" s="5"/>
      <c r="W60" s="5"/>
      <c r="X60" s="6"/>
      <c r="Y60" s="6"/>
      <c r="Z60" s="6"/>
      <c r="AA60" s="6"/>
      <c r="AB60" s="5"/>
      <c r="AC60" s="132"/>
      <c r="AD60" s="133"/>
    </row>
    <row r="61">
      <c r="A61" s="1"/>
      <c r="B61" s="1"/>
      <c r="C61" s="139"/>
      <c r="D61" s="140" t="s">
        <v>55</v>
      </c>
      <c r="E61" s="141" t="s">
        <v>56</v>
      </c>
      <c r="F61" s="141" t="s">
        <v>31</v>
      </c>
      <c r="G61" s="141" t="s">
        <v>24</v>
      </c>
      <c r="H61" s="141" t="s">
        <v>36</v>
      </c>
      <c r="I61" s="141" t="s">
        <v>57</v>
      </c>
      <c r="J61" s="142" t="s">
        <v>58</v>
      </c>
      <c r="K61" s="143" t="s">
        <v>59</v>
      </c>
      <c r="L61" s="75"/>
      <c r="M61" s="75"/>
      <c r="N61" s="144" t="str">
        <f>S53</f>
        <v/>
      </c>
      <c r="O61" s="145"/>
      <c r="P61" s="146" t="s">
        <v>8</v>
      </c>
      <c r="Q61" s="147" t="str">
        <f t="array" ref="Q61">if(countif(G63:H67,"=0")=10,"NA",IRR({-1*P$53,I63,I64,I65,I66,I67+N65}))</f>
        <v>#N/A</v>
      </c>
      <c r="R61" s="148" t="str">
        <f>IFERROR(Q61-0.03,)</f>
        <v/>
      </c>
      <c r="S61" s="149" t="s">
        <v>60</v>
      </c>
      <c r="T61" s="150" t="str">
        <f>IFERROR(Q61+0.02,)</f>
        <v/>
      </c>
      <c r="U61" s="5"/>
      <c r="V61" s="151" t="s">
        <v>61</v>
      </c>
      <c r="W61" s="5"/>
      <c r="X61" s="6"/>
      <c r="Y61" s="6"/>
      <c r="Z61" s="6"/>
      <c r="AA61" s="6"/>
      <c r="AB61" s="5"/>
      <c r="AC61" s="132"/>
      <c r="AD61" s="133"/>
    </row>
    <row r="62">
      <c r="A62" s="1"/>
      <c r="B62" s="1"/>
      <c r="C62" s="137"/>
      <c r="D62" s="152"/>
      <c r="E62" s="86"/>
      <c r="F62" s="86"/>
      <c r="G62" s="86"/>
      <c r="I62" s="86"/>
      <c r="J62" s="87"/>
      <c r="K62" s="69" t="s">
        <v>62</v>
      </c>
      <c r="N62" s="153" t="str">
        <f>F67*N61</f>
        <v>#VALUE!</v>
      </c>
      <c r="O62" s="1"/>
      <c r="Q62" s="47"/>
      <c r="R62" s="154" t="s">
        <v>11</v>
      </c>
      <c r="T62" s="47"/>
      <c r="U62" s="5"/>
      <c r="V62" s="5"/>
      <c r="W62" s="5"/>
      <c r="X62" s="6"/>
      <c r="Y62" s="6"/>
      <c r="Z62" s="155"/>
      <c r="AA62" s="6"/>
      <c r="AB62" s="5"/>
      <c r="AC62" s="132"/>
      <c r="AD62" s="133"/>
    </row>
    <row r="63">
      <c r="A63" s="1"/>
      <c r="B63" s="1"/>
      <c r="C63" s="156">
        <v>2026.0</v>
      </c>
      <c r="D63" s="157" t="str">
        <f>D$53*(1+E63)</f>
        <v>#VALUE!</v>
      </c>
      <c r="E63" s="158" t="str">
        <f>E53</f>
        <v/>
      </c>
      <c r="F63" s="157" t="str">
        <f t="shared" ref="F63:F67" si="33">G63*D63</f>
        <v>#VALUE!</v>
      </c>
      <c r="G63" s="158" t="str">
        <f>G53</f>
        <v/>
      </c>
      <c r="H63" s="159" t="str">
        <f>L53</f>
        <v/>
      </c>
      <c r="I63" s="157" t="str">
        <f t="shared" ref="I63:I67" si="35">H63*D63</f>
        <v>#VALUE!</v>
      </c>
      <c r="J63" s="160" t="str">
        <f t="shared" ref="J63:J67" si="36">I63/(1+N$66)^(C63-C$63+1)</f>
        <v>#VALUE!</v>
      </c>
      <c r="K63" s="41" t="s">
        <v>37</v>
      </c>
      <c r="N63" s="153">
        <f>M$53</f>
        <v>0</v>
      </c>
      <c r="O63" s="1"/>
      <c r="P63" s="161" t="s">
        <v>63</v>
      </c>
      <c r="Q63" s="162" t="str">
        <f>if(Q61="NA","-",(N67/P$53)*I$6)</f>
        <v>#N/A</v>
      </c>
      <c r="R63" s="154"/>
      <c r="S63" s="154"/>
      <c r="T63" s="163"/>
      <c r="U63" s="5"/>
      <c r="V63" s="5"/>
      <c r="W63" s="5"/>
      <c r="X63" s="6"/>
      <c r="Y63" s="6"/>
      <c r="Z63" s="155"/>
      <c r="AA63" s="6"/>
      <c r="AB63" s="5"/>
      <c r="AC63" s="132"/>
      <c r="AD63" s="133"/>
    </row>
    <row r="64">
      <c r="A64" s="1"/>
      <c r="B64" s="1"/>
      <c r="C64" s="164">
        <f t="shared" ref="C64:C67" si="37">C63+1</f>
        <v>2027</v>
      </c>
      <c r="D64" s="157" t="str">
        <f t="shared" ref="D64:D67" si="38">D63*(1+E64)</f>
        <v>#VALUE!</v>
      </c>
      <c r="E64" s="165" t="str">
        <f t="shared" ref="E64:E65" si="39">E63</f>
        <v/>
      </c>
      <c r="F64" s="166" t="str">
        <f t="shared" si="33"/>
        <v>#VALUE!</v>
      </c>
      <c r="G64" s="167" t="str">
        <f t="shared" ref="G64:H64" si="34">G63</f>
        <v/>
      </c>
      <c r="H64" s="165" t="str">
        <f t="shared" si="34"/>
        <v/>
      </c>
      <c r="I64" s="157" t="str">
        <f t="shared" si="35"/>
        <v>#VALUE!</v>
      </c>
      <c r="J64" s="160" t="str">
        <f t="shared" si="36"/>
        <v>#VALUE!</v>
      </c>
      <c r="K64" s="41" t="s">
        <v>64</v>
      </c>
      <c r="N64" s="168">
        <v>0.0</v>
      </c>
      <c r="O64" s="1"/>
      <c r="Q64" s="47"/>
      <c r="R64" s="169" t="str">
        <f>IFERROR(Q63-(Q63*0.05),)</f>
        <v/>
      </c>
      <c r="S64" s="149" t="s">
        <v>60</v>
      </c>
      <c r="T64" s="170" t="str">
        <f>IFERROR(Q63+(Q63*0.05),)</f>
        <v/>
      </c>
      <c r="U64" s="5"/>
      <c r="V64" s="5"/>
      <c r="W64" s="5"/>
      <c r="X64" s="6"/>
      <c r="Y64" s="6"/>
      <c r="Z64" s="155"/>
      <c r="AA64" s="6"/>
      <c r="AB64" s="5"/>
      <c r="AC64" s="132"/>
      <c r="AD64" s="133"/>
    </row>
    <row r="65">
      <c r="A65" s="1"/>
      <c r="B65" s="1"/>
      <c r="C65" s="164">
        <f t="shared" si="37"/>
        <v>2028</v>
      </c>
      <c r="D65" s="157" t="str">
        <f t="shared" si="38"/>
        <v>#VALUE!</v>
      </c>
      <c r="E65" s="165" t="str">
        <f t="shared" si="39"/>
        <v/>
      </c>
      <c r="F65" s="166" t="str">
        <f t="shared" si="33"/>
        <v>#VALUE!</v>
      </c>
      <c r="G65" s="167" t="str">
        <f t="shared" ref="G65:H65" si="40">G64</f>
        <v/>
      </c>
      <c r="H65" s="165" t="str">
        <f t="shared" si="40"/>
        <v/>
      </c>
      <c r="I65" s="157" t="str">
        <f t="shared" si="35"/>
        <v>#VALUE!</v>
      </c>
      <c r="J65" s="160" t="str">
        <f t="shared" si="36"/>
        <v>#VALUE!</v>
      </c>
      <c r="K65" s="69" t="s">
        <v>65</v>
      </c>
      <c r="N65" s="164" t="str">
        <f>N62-N63+N64*1000000</f>
        <v>#VALUE!</v>
      </c>
      <c r="O65" s="1"/>
      <c r="Q65" s="47"/>
      <c r="R65" s="154"/>
      <c r="T65" s="47"/>
      <c r="U65" s="5"/>
      <c r="V65" s="5"/>
      <c r="W65" s="5"/>
      <c r="X65" s="6"/>
      <c r="Y65" s="6"/>
      <c r="Z65" s="155"/>
      <c r="AA65" s="6"/>
      <c r="AB65" s="5"/>
      <c r="AC65" s="132"/>
      <c r="AD65" s="133"/>
    </row>
    <row r="66">
      <c r="A66" s="1"/>
      <c r="B66" s="1"/>
      <c r="C66" s="164">
        <f t="shared" si="37"/>
        <v>2029</v>
      </c>
      <c r="D66" s="157" t="str">
        <f t="shared" si="38"/>
        <v>#VALUE!</v>
      </c>
      <c r="E66" s="171">
        <f t="shared" ref="E66:E67" si="42">E65-1%</f>
        <v>-0.01</v>
      </c>
      <c r="F66" s="166" t="str">
        <f t="shared" si="33"/>
        <v>#VALUE!</v>
      </c>
      <c r="G66" s="167" t="str">
        <f t="shared" ref="G66:H66" si="41">G65</f>
        <v/>
      </c>
      <c r="H66" s="165" t="str">
        <f t="shared" si="41"/>
        <v/>
      </c>
      <c r="I66" s="157" t="str">
        <f t="shared" si="35"/>
        <v>#VALUE!</v>
      </c>
      <c r="J66" s="160" t="str">
        <f t="shared" si="36"/>
        <v>#VALUE!</v>
      </c>
      <c r="K66" s="69" t="s">
        <v>66</v>
      </c>
      <c r="N66" s="172">
        <v>0.1</v>
      </c>
      <c r="O66" s="1"/>
      <c r="P66" s="161" t="s">
        <v>67</v>
      </c>
      <c r="Q66" s="173" t="str">
        <f t="array" ref="Q66">if(Q61="NA","-",(npv(Q61,I63:I66,I67)*(1+Q61)^5+N65)/P$53-1)</f>
        <v>#N/A</v>
      </c>
      <c r="R66" s="154"/>
      <c r="S66" s="154"/>
      <c r="T66" s="163"/>
      <c r="U66" s="5"/>
      <c r="V66" s="5"/>
      <c r="W66" s="5"/>
      <c r="X66" s="6"/>
      <c r="Y66" s="6"/>
      <c r="Z66" s="155"/>
      <c r="AA66" s="6"/>
      <c r="AB66" s="5"/>
      <c r="AC66" s="174"/>
      <c r="AD66" s="175"/>
    </row>
    <row r="67">
      <c r="A67" s="1"/>
      <c r="B67" s="1"/>
      <c r="C67" s="176">
        <f t="shared" si="37"/>
        <v>2030</v>
      </c>
      <c r="D67" s="177" t="str">
        <f t="shared" si="38"/>
        <v>#VALUE!</v>
      </c>
      <c r="E67" s="178">
        <f t="shared" si="42"/>
        <v>-0.02</v>
      </c>
      <c r="F67" s="179" t="str">
        <f t="shared" si="33"/>
        <v>#VALUE!</v>
      </c>
      <c r="G67" s="180" t="str">
        <f t="shared" ref="G67:H67" si="43">G66</f>
        <v/>
      </c>
      <c r="H67" s="181" t="str">
        <f t="shared" si="43"/>
        <v/>
      </c>
      <c r="I67" s="177" t="str">
        <f t="shared" si="35"/>
        <v>#VALUE!</v>
      </c>
      <c r="J67" s="182" t="str">
        <f t="shared" si="36"/>
        <v>#VALUE!</v>
      </c>
      <c r="K67" s="183" t="s">
        <v>68</v>
      </c>
      <c r="L67" s="86"/>
      <c r="M67" s="86"/>
      <c r="N67" s="184" t="str">
        <f>sum(J63:J67)+PV(N66,5,0,-1*N65)</f>
        <v>#VALUE!</v>
      </c>
      <c r="O67" s="185"/>
      <c r="P67" s="86"/>
      <c r="Q67" s="87"/>
      <c r="R67" s="186" t="str">
        <f>IF(Q66=0,Q66-0.03,)</f>
        <v>#N/A</v>
      </c>
      <c r="S67" s="149" t="s">
        <v>60</v>
      </c>
      <c r="T67" s="187" t="str">
        <f>IF(Q66=0,Q66+0.02,)</f>
        <v>#N/A</v>
      </c>
      <c r="U67" s="5"/>
      <c r="V67" s="5"/>
      <c r="W67" s="5"/>
      <c r="X67" s="6"/>
      <c r="Y67" s="6"/>
      <c r="Z67" s="155"/>
      <c r="AA67" s="6"/>
      <c r="AB67" s="5"/>
      <c r="AC67" s="174"/>
      <c r="AD67" s="175"/>
    </row>
    <row r="68">
      <c r="A68" s="1"/>
      <c r="B68" s="1"/>
      <c r="C68" s="1"/>
      <c r="D68" s="1"/>
      <c r="E68" s="1"/>
      <c r="F68" s="1"/>
      <c r="G68" s="1"/>
      <c r="H68" s="1"/>
      <c r="I68" s="1"/>
      <c r="J68" s="1"/>
      <c r="K68" s="1"/>
      <c r="L68" s="99"/>
      <c r="M68" s="1"/>
      <c r="N68" s="1"/>
      <c r="O68" s="99"/>
      <c r="P68" s="1"/>
      <c r="Q68" s="1"/>
      <c r="R68" s="1"/>
      <c r="S68" s="1"/>
      <c r="U68" s="5"/>
      <c r="V68" s="5"/>
      <c r="W68" s="5"/>
      <c r="X68" s="5"/>
      <c r="Y68" s="6"/>
      <c r="Z68" s="6"/>
      <c r="AA68" s="6"/>
      <c r="AB68" s="5"/>
      <c r="AC68" s="174"/>
      <c r="AD68" s="175"/>
    </row>
    <row r="69">
      <c r="A69" s="1"/>
      <c r="B69" s="1"/>
      <c r="C69" s="139"/>
      <c r="D69" s="140" t="s">
        <v>55</v>
      </c>
      <c r="E69" s="141" t="s">
        <v>56</v>
      </c>
      <c r="F69" s="141" t="s">
        <v>31</v>
      </c>
      <c r="G69" s="141" t="s">
        <v>24</v>
      </c>
      <c r="H69" s="141" t="s">
        <v>36</v>
      </c>
      <c r="I69" s="141" t="s">
        <v>57</v>
      </c>
      <c r="J69" s="142" t="s">
        <v>58</v>
      </c>
      <c r="K69" s="143" t="s">
        <v>59</v>
      </c>
      <c r="L69" s="75"/>
      <c r="M69" s="75"/>
      <c r="N69" s="188">
        <v>0.0</v>
      </c>
      <c r="O69" s="145"/>
      <c r="P69" s="189" t="s">
        <v>8</v>
      </c>
      <c r="Q69" s="190" t="str">
        <f t="array" ref="Q69">if(countif(G71:H75,"=0")=10,"NA",IRR({-1*P$53,I71,I72,I73,I74,I75+N73}))</f>
        <v>NA</v>
      </c>
      <c r="R69" s="191" t="str">
        <f>IFERROR(Q69-0.03,)</f>
        <v/>
      </c>
      <c r="S69" s="192" t="s">
        <v>60</v>
      </c>
      <c r="T69" s="193" t="str">
        <f>IFERROR(Q69+0.02,)</f>
        <v/>
      </c>
      <c r="U69" s="5"/>
      <c r="V69" s="5"/>
      <c r="W69" s="5"/>
      <c r="X69" s="5"/>
      <c r="Y69" s="6"/>
      <c r="Z69" s="6"/>
      <c r="AA69" s="6"/>
      <c r="AB69" s="5"/>
      <c r="AC69" s="174"/>
      <c r="AD69" s="175"/>
    </row>
    <row r="70">
      <c r="A70" s="1"/>
      <c r="B70" s="1"/>
      <c r="C70" s="137"/>
      <c r="D70" s="152"/>
      <c r="E70" s="86"/>
      <c r="F70" s="86"/>
      <c r="G70" s="86"/>
      <c r="I70" s="86"/>
      <c r="J70" s="87"/>
      <c r="K70" s="69" t="s">
        <v>62</v>
      </c>
      <c r="N70" s="153" t="str">
        <f>F75*N69</f>
        <v>#VALUE!</v>
      </c>
      <c r="O70" s="12"/>
      <c r="Q70" s="47"/>
      <c r="R70" s="194" t="s">
        <v>12</v>
      </c>
      <c r="S70" s="75"/>
      <c r="T70" s="76"/>
      <c r="U70" s="5"/>
      <c r="V70" s="5"/>
      <c r="W70" s="5"/>
      <c r="X70" s="5"/>
      <c r="Y70" s="6"/>
      <c r="Z70" s="6"/>
      <c r="AA70" s="6"/>
      <c r="AB70" s="5"/>
      <c r="AC70" s="174"/>
      <c r="AD70" s="175"/>
    </row>
    <row r="71">
      <c r="A71" s="1"/>
      <c r="B71" s="1"/>
      <c r="C71" s="164">
        <f t="shared" ref="C71:C75" si="44">C63</f>
        <v>2026</v>
      </c>
      <c r="D71" s="157" t="str">
        <f>D$53*(1+E71)</f>
        <v>#VALUE!</v>
      </c>
      <c r="E71" s="158">
        <v>0.0</v>
      </c>
      <c r="F71" s="157" t="str">
        <f t="shared" ref="F71:F75" si="45">G71*D71</f>
        <v>#VALUE!</v>
      </c>
      <c r="G71" s="158">
        <v>0.0</v>
      </c>
      <c r="H71" s="159">
        <v>0.0</v>
      </c>
      <c r="I71" s="157" t="str">
        <f t="shared" ref="I71:I75" si="47">H71*D71</f>
        <v>#VALUE!</v>
      </c>
      <c r="J71" s="160" t="str">
        <f t="shared" ref="J71:J75" si="48">I71/(1+N$74)^(C71-C$71+1)</f>
        <v>#VALUE!</v>
      </c>
      <c r="K71" s="65" t="s">
        <v>37</v>
      </c>
      <c r="N71" s="153">
        <f>M$53</f>
        <v>0</v>
      </c>
      <c r="O71" s="12"/>
      <c r="P71" s="161" t="s">
        <v>63</v>
      </c>
      <c r="Q71" s="162" t="str">
        <f>if(Q69="NA","-",(N75/P$53)*I$6)</f>
        <v>-</v>
      </c>
      <c r="R71" s="195"/>
      <c r="S71" s="195"/>
      <c r="T71" s="196"/>
      <c r="U71" s="5"/>
      <c r="V71" s="5"/>
      <c r="W71" s="60"/>
      <c r="X71" s="5"/>
      <c r="Y71" s="6"/>
      <c r="Z71" s="6"/>
      <c r="AA71" s="6"/>
      <c r="AB71" s="5"/>
      <c r="AC71" s="174"/>
      <c r="AD71" s="175"/>
    </row>
    <row r="72">
      <c r="A72" s="1"/>
      <c r="B72" s="1"/>
      <c r="C72" s="164">
        <f t="shared" si="44"/>
        <v>2027</v>
      </c>
      <c r="D72" s="157" t="str">
        <f t="shared" ref="D72:D75" si="49">D71*(1+E72)</f>
        <v>#VALUE!</v>
      </c>
      <c r="E72" s="165">
        <f t="shared" ref="E72:E73" si="50">E71</f>
        <v>0</v>
      </c>
      <c r="F72" s="166" t="str">
        <f t="shared" si="45"/>
        <v>#VALUE!</v>
      </c>
      <c r="G72" s="167">
        <f t="shared" ref="G72:H72" si="46">G71</f>
        <v>0</v>
      </c>
      <c r="H72" s="165">
        <f t="shared" si="46"/>
        <v>0</v>
      </c>
      <c r="I72" s="157" t="str">
        <f t="shared" si="47"/>
        <v>#VALUE!</v>
      </c>
      <c r="J72" s="160" t="str">
        <f t="shared" si="48"/>
        <v>#VALUE!</v>
      </c>
      <c r="K72" s="65" t="s">
        <v>64</v>
      </c>
      <c r="N72" s="168">
        <v>0.0</v>
      </c>
      <c r="O72" s="197"/>
      <c r="Q72" s="47"/>
      <c r="R72" s="198" t="str">
        <f>IFERROR(Q71-(Q71*0.05),)</f>
        <v/>
      </c>
      <c r="S72" s="192" t="s">
        <v>60</v>
      </c>
      <c r="T72" s="199" t="str">
        <f>IFERROR(Q71+(Q71*0.05),)</f>
        <v/>
      </c>
      <c r="U72" s="5"/>
      <c r="V72" s="5"/>
      <c r="W72" s="60"/>
      <c r="X72" s="5"/>
      <c r="Y72" s="6"/>
      <c r="Z72" s="6"/>
      <c r="AA72" s="6"/>
      <c r="AB72" s="5"/>
      <c r="AC72" s="174"/>
      <c r="AD72" s="175"/>
    </row>
    <row r="73">
      <c r="A73" s="1"/>
      <c r="B73" s="1"/>
      <c r="C73" s="164">
        <f t="shared" si="44"/>
        <v>2028</v>
      </c>
      <c r="D73" s="157" t="str">
        <f t="shared" si="49"/>
        <v>#VALUE!</v>
      </c>
      <c r="E73" s="165">
        <f t="shared" si="50"/>
        <v>0</v>
      </c>
      <c r="F73" s="166" t="str">
        <f t="shared" si="45"/>
        <v>#VALUE!</v>
      </c>
      <c r="G73" s="167">
        <f t="shared" ref="G73:H73" si="51">G72</f>
        <v>0</v>
      </c>
      <c r="H73" s="165">
        <f t="shared" si="51"/>
        <v>0</v>
      </c>
      <c r="I73" s="157" t="str">
        <f t="shared" si="47"/>
        <v>#VALUE!</v>
      </c>
      <c r="J73" s="160" t="str">
        <f t="shared" si="48"/>
        <v>#VALUE!</v>
      </c>
      <c r="K73" s="69" t="s">
        <v>65</v>
      </c>
      <c r="N73" s="153" t="str">
        <f>N70-N71+N72*1000000</f>
        <v>#VALUE!</v>
      </c>
      <c r="O73" s="12"/>
      <c r="Q73" s="47"/>
      <c r="R73" s="194"/>
      <c r="S73" s="75"/>
      <c r="T73" s="76"/>
      <c r="U73" s="5"/>
      <c r="V73" s="5"/>
      <c r="W73" s="60"/>
      <c r="X73" s="5"/>
      <c r="Y73" s="6"/>
      <c r="Z73" s="6"/>
      <c r="AA73" s="6"/>
      <c r="AB73" s="5"/>
      <c r="AC73" s="174"/>
      <c r="AD73" s="175"/>
    </row>
    <row r="74">
      <c r="A74" s="1"/>
      <c r="B74" s="1"/>
      <c r="C74" s="164">
        <f t="shared" si="44"/>
        <v>2029</v>
      </c>
      <c r="D74" s="157" t="str">
        <f t="shared" si="49"/>
        <v>#VALUE!</v>
      </c>
      <c r="E74" s="171">
        <f t="shared" ref="E74:E75" si="53">E73-1%</f>
        <v>-0.01</v>
      </c>
      <c r="F74" s="166" t="str">
        <f t="shared" si="45"/>
        <v>#VALUE!</v>
      </c>
      <c r="G74" s="167">
        <f t="shared" ref="G74:H74" si="52">G73</f>
        <v>0</v>
      </c>
      <c r="H74" s="165">
        <f t="shared" si="52"/>
        <v>0</v>
      </c>
      <c r="I74" s="157" t="str">
        <f t="shared" si="47"/>
        <v>#VALUE!</v>
      </c>
      <c r="J74" s="160" t="str">
        <f t="shared" si="48"/>
        <v>#VALUE!</v>
      </c>
      <c r="K74" s="69" t="s">
        <v>66</v>
      </c>
      <c r="N74" s="172">
        <f>N66</f>
        <v>0.1</v>
      </c>
      <c r="O74" s="12"/>
      <c r="P74" s="200" t="s">
        <v>67</v>
      </c>
      <c r="Q74" s="173" t="str">
        <f t="array" ref="Q74">if(Q69="NA","-",(npv(Q69,I71:I74,I75)*(1+Q69)^5+N73)/P$53-1)</f>
        <v>-</v>
      </c>
      <c r="R74" s="195"/>
      <c r="S74" s="195"/>
      <c r="T74" s="196"/>
      <c r="U74" s="5"/>
      <c r="V74" s="5"/>
      <c r="W74" s="131"/>
      <c r="X74" s="5"/>
      <c r="Y74" s="6"/>
      <c r="Z74" s="6"/>
      <c r="AA74" s="6"/>
      <c r="AB74" s="5"/>
      <c r="AC74" s="174"/>
      <c r="AD74" s="175"/>
    </row>
    <row r="75">
      <c r="A75" s="1"/>
      <c r="B75" s="1"/>
      <c r="C75" s="176">
        <f t="shared" si="44"/>
        <v>2030</v>
      </c>
      <c r="D75" s="177" t="str">
        <f t="shared" si="49"/>
        <v>#VALUE!</v>
      </c>
      <c r="E75" s="178">
        <f t="shared" si="53"/>
        <v>-0.02</v>
      </c>
      <c r="F75" s="179" t="str">
        <f t="shared" si="45"/>
        <v>#VALUE!</v>
      </c>
      <c r="G75" s="180">
        <f t="shared" ref="G75:H75" si="54">G74</f>
        <v>0</v>
      </c>
      <c r="H75" s="181">
        <f t="shared" si="54"/>
        <v>0</v>
      </c>
      <c r="I75" s="177" t="str">
        <f t="shared" si="47"/>
        <v>#VALUE!</v>
      </c>
      <c r="J75" s="182" t="str">
        <f t="shared" si="48"/>
        <v>#VALUE!</v>
      </c>
      <c r="K75" s="201" t="s">
        <v>68</v>
      </c>
      <c r="L75" s="86"/>
      <c r="M75" s="86"/>
      <c r="N75" s="184" t="str">
        <f>sum(J71:J75)+PV(N74,5,0,-1*N73)</f>
        <v>#VALUE!</v>
      </c>
      <c r="O75" s="202"/>
      <c r="P75" s="86"/>
      <c r="Q75" s="87"/>
      <c r="R75" s="203" t="str">
        <f>IF(Q74=0,Q74-0.03,)</f>
        <v/>
      </c>
      <c r="S75" s="192" t="s">
        <v>60</v>
      </c>
      <c r="T75" s="204" t="str">
        <f>IF(Q74=0,Q74+0.02,)</f>
        <v/>
      </c>
      <c r="U75" s="5"/>
      <c r="V75" s="5"/>
      <c r="W75" s="131"/>
      <c r="X75" s="5"/>
      <c r="Y75" s="6"/>
      <c r="Z75" s="6"/>
      <c r="AA75" s="6"/>
      <c r="AB75" s="5"/>
      <c r="AC75" s="174"/>
      <c r="AD75" s="175"/>
    </row>
    <row r="76">
      <c r="A76" s="1"/>
      <c r="B76" s="1"/>
      <c r="C76" s="1"/>
      <c r="D76" s="1"/>
      <c r="E76" s="1"/>
      <c r="F76" s="1"/>
      <c r="G76" s="1"/>
      <c r="H76" s="1"/>
      <c r="I76" s="1"/>
      <c r="J76" s="1"/>
      <c r="K76" s="1"/>
      <c r="L76" s="99"/>
      <c r="M76" s="1"/>
      <c r="N76" s="1"/>
      <c r="O76" s="8"/>
      <c r="P76" s="1"/>
      <c r="Q76" s="1"/>
      <c r="R76" s="1"/>
      <c r="S76" s="1"/>
      <c r="U76" s="5"/>
      <c r="V76" s="5"/>
      <c r="W76" s="5"/>
      <c r="X76" s="5"/>
      <c r="Y76" s="6"/>
      <c r="Z76" s="6"/>
      <c r="AA76" s="6"/>
      <c r="AB76" s="5"/>
      <c r="AC76" s="174"/>
      <c r="AD76" s="175"/>
    </row>
    <row r="77">
      <c r="A77" s="1"/>
      <c r="B77" s="1"/>
      <c r="C77" s="139"/>
      <c r="D77" s="140" t="s">
        <v>55</v>
      </c>
      <c r="E77" s="141" t="s">
        <v>56</v>
      </c>
      <c r="F77" s="141" t="s">
        <v>31</v>
      </c>
      <c r="G77" s="141" t="s">
        <v>24</v>
      </c>
      <c r="H77" s="141" t="s">
        <v>36</v>
      </c>
      <c r="I77" s="141" t="s">
        <v>57</v>
      </c>
      <c r="J77" s="142" t="s">
        <v>58</v>
      </c>
      <c r="K77" s="143" t="s">
        <v>59</v>
      </c>
      <c r="L77" s="75"/>
      <c r="M77" s="75"/>
      <c r="N77" s="188">
        <v>0.0</v>
      </c>
      <c r="O77" s="145"/>
      <c r="P77" s="189" t="s">
        <v>8</v>
      </c>
      <c r="Q77" s="190" t="str">
        <f t="array" ref="Q77">if(countif(G79:H83,"=0")=10,"NA",IRR({-1*P$53,I79,I80,I81,I82,I83+N81}))</f>
        <v>NA</v>
      </c>
      <c r="R77" s="205" t="str">
        <f>IFERROR(Q77-0.03,)</f>
        <v/>
      </c>
      <c r="S77" s="206" t="s">
        <v>60</v>
      </c>
      <c r="T77" s="207" t="str">
        <f>IFERROR(Q77+0.02,)</f>
        <v/>
      </c>
      <c r="U77" s="5"/>
      <c r="V77" s="5"/>
      <c r="W77" s="5"/>
      <c r="X77" s="5"/>
      <c r="Y77" s="6"/>
      <c r="Z77" s="6"/>
      <c r="AA77" s="6"/>
      <c r="AB77" s="5"/>
      <c r="AC77" s="174"/>
      <c r="AD77" s="175"/>
    </row>
    <row r="78">
      <c r="A78" s="1"/>
      <c r="B78" s="1"/>
      <c r="C78" s="137"/>
      <c r="D78" s="152"/>
      <c r="E78" s="86"/>
      <c r="F78" s="86"/>
      <c r="G78" s="86"/>
      <c r="I78" s="86"/>
      <c r="J78" s="87"/>
      <c r="K78" s="69" t="s">
        <v>62</v>
      </c>
      <c r="N78" s="153" t="str">
        <f>F83*N77</f>
        <v>#VALUE!</v>
      </c>
      <c r="O78" s="12"/>
      <c r="Q78" s="47"/>
      <c r="R78" s="208" t="s">
        <v>15</v>
      </c>
      <c r="S78" s="75"/>
      <c r="T78" s="76"/>
      <c r="U78" s="5"/>
      <c r="V78" s="5"/>
      <c r="W78" s="5"/>
      <c r="X78" s="5"/>
      <c r="Y78" s="6"/>
      <c r="Z78" s="6"/>
      <c r="AA78" s="6"/>
      <c r="AB78" s="5"/>
      <c r="AC78" s="174"/>
      <c r="AD78" s="175"/>
    </row>
    <row r="79">
      <c r="A79" s="1"/>
      <c r="B79" s="1"/>
      <c r="C79" s="164">
        <f t="shared" ref="C79:C83" si="55">C71</f>
        <v>2026</v>
      </c>
      <c r="D79" s="157" t="str">
        <f>D$53*(1+E79)</f>
        <v>#VALUE!</v>
      </c>
      <c r="E79" s="158">
        <v>0.0</v>
      </c>
      <c r="F79" s="157" t="str">
        <f t="shared" ref="F79:F83" si="56">G79*D79</f>
        <v>#VALUE!</v>
      </c>
      <c r="G79" s="158">
        <v>0.0</v>
      </c>
      <c r="H79" s="159">
        <v>0.0</v>
      </c>
      <c r="I79" s="157" t="str">
        <f t="shared" ref="I79:I83" si="58">H79*D79</f>
        <v>#VALUE!</v>
      </c>
      <c r="J79" s="160" t="str">
        <f t="shared" ref="J79:J83" si="59">I79/(1+N$82)^(C79-C$79+1)</f>
        <v>#VALUE!</v>
      </c>
      <c r="K79" s="65" t="s">
        <v>37</v>
      </c>
      <c r="N79" s="153">
        <f>M$53</f>
        <v>0</v>
      </c>
      <c r="O79" s="12"/>
      <c r="P79" s="161" t="s">
        <v>63</v>
      </c>
      <c r="Q79" s="162" t="str">
        <f>if(Q77="NA","-",(N83/P$53)*I$6)</f>
        <v>-</v>
      </c>
      <c r="R79" s="209"/>
      <c r="S79" s="209"/>
      <c r="T79" s="210"/>
      <c r="U79" s="5"/>
      <c r="V79" s="5"/>
      <c r="W79" s="60"/>
      <c r="X79" s="5"/>
      <c r="Y79" s="6"/>
      <c r="Z79" s="6"/>
      <c r="AA79" s="6"/>
      <c r="AB79" s="5"/>
      <c r="AC79" s="174"/>
      <c r="AD79" s="175"/>
    </row>
    <row r="80">
      <c r="A80" s="1"/>
      <c r="B80" s="1"/>
      <c r="C80" s="164">
        <f t="shared" si="55"/>
        <v>2027</v>
      </c>
      <c r="D80" s="157" t="str">
        <f t="shared" ref="D80:D83" si="60">D79*(1+E80)</f>
        <v>#VALUE!</v>
      </c>
      <c r="E80" s="165">
        <f t="shared" ref="E80:E81" si="61">E79</f>
        <v>0</v>
      </c>
      <c r="F80" s="166" t="str">
        <f t="shared" si="56"/>
        <v>#VALUE!</v>
      </c>
      <c r="G80" s="167">
        <f t="shared" ref="G80:H80" si="57">G79</f>
        <v>0</v>
      </c>
      <c r="H80" s="165">
        <f t="shared" si="57"/>
        <v>0</v>
      </c>
      <c r="I80" s="157" t="str">
        <f t="shared" si="58"/>
        <v>#VALUE!</v>
      </c>
      <c r="J80" s="160" t="str">
        <f t="shared" si="59"/>
        <v>#VALUE!</v>
      </c>
      <c r="K80" s="65" t="s">
        <v>64</v>
      </c>
      <c r="N80" s="168">
        <v>0.0</v>
      </c>
      <c r="O80" s="12"/>
      <c r="Q80" s="47"/>
      <c r="R80" s="211" t="str">
        <f>IFERROR(Q79-(Q79*0.05),)</f>
        <v/>
      </c>
      <c r="S80" s="206" t="s">
        <v>60</v>
      </c>
      <c r="T80" s="212" t="str">
        <f>IFERROR(Q79+(Q79*0.05),)</f>
        <v/>
      </c>
      <c r="U80" s="5"/>
      <c r="V80" s="5"/>
      <c r="W80" s="60"/>
      <c r="X80" s="5"/>
      <c r="Y80" s="6"/>
      <c r="Z80" s="6"/>
      <c r="AA80" s="6"/>
      <c r="AB80" s="5"/>
      <c r="AC80" s="174"/>
      <c r="AD80" s="175"/>
    </row>
    <row r="81">
      <c r="A81" s="1"/>
      <c r="B81" s="1"/>
      <c r="C81" s="164">
        <f t="shared" si="55"/>
        <v>2028</v>
      </c>
      <c r="D81" s="157" t="str">
        <f t="shared" si="60"/>
        <v>#VALUE!</v>
      </c>
      <c r="E81" s="165">
        <f t="shared" si="61"/>
        <v>0</v>
      </c>
      <c r="F81" s="166" t="str">
        <f t="shared" si="56"/>
        <v>#VALUE!</v>
      </c>
      <c r="G81" s="167">
        <f t="shared" ref="G81:H81" si="62">G80</f>
        <v>0</v>
      </c>
      <c r="H81" s="165">
        <f t="shared" si="62"/>
        <v>0</v>
      </c>
      <c r="I81" s="157" t="str">
        <f t="shared" si="58"/>
        <v>#VALUE!</v>
      </c>
      <c r="J81" s="160" t="str">
        <f t="shared" si="59"/>
        <v>#VALUE!</v>
      </c>
      <c r="K81" s="69" t="s">
        <v>65</v>
      </c>
      <c r="N81" s="153" t="str">
        <f>N78-N79+N80*1000000</f>
        <v>#VALUE!</v>
      </c>
      <c r="O81" s="12"/>
      <c r="Q81" s="47"/>
      <c r="R81" s="208"/>
      <c r="S81" s="75"/>
      <c r="T81" s="76"/>
      <c r="U81" s="5"/>
      <c r="V81" s="5"/>
      <c r="W81" s="60"/>
      <c r="X81" s="5"/>
      <c r="Y81" s="6"/>
      <c r="Z81" s="6"/>
      <c r="AA81" s="6"/>
      <c r="AB81" s="5"/>
      <c r="AC81" s="174"/>
      <c r="AD81" s="175"/>
    </row>
    <row r="82">
      <c r="A82" s="1"/>
      <c r="B82" s="1"/>
      <c r="C82" s="164">
        <f t="shared" si="55"/>
        <v>2029</v>
      </c>
      <c r="D82" s="157" t="str">
        <f t="shared" si="60"/>
        <v>#VALUE!</v>
      </c>
      <c r="E82" s="171">
        <f t="shared" ref="E82:E83" si="64">E81-1%</f>
        <v>-0.01</v>
      </c>
      <c r="F82" s="166" t="str">
        <f t="shared" si="56"/>
        <v>#VALUE!</v>
      </c>
      <c r="G82" s="167">
        <f t="shared" ref="G82:H82" si="63">G81</f>
        <v>0</v>
      </c>
      <c r="H82" s="165">
        <f t="shared" si="63"/>
        <v>0</v>
      </c>
      <c r="I82" s="157" t="str">
        <f t="shared" si="58"/>
        <v>#VALUE!</v>
      </c>
      <c r="J82" s="160" t="str">
        <f t="shared" si="59"/>
        <v>#VALUE!</v>
      </c>
      <c r="K82" s="69" t="s">
        <v>66</v>
      </c>
      <c r="N82" s="172">
        <f>N66</f>
        <v>0.1</v>
      </c>
      <c r="O82" s="12"/>
      <c r="P82" s="200" t="s">
        <v>67</v>
      </c>
      <c r="Q82" s="173" t="str">
        <f t="array" ref="Q82">if(Q77="NA","-",(npv(Q77,I79:I82,I83)*(1+Q77)^5+N81)/P$53-1)</f>
        <v>-</v>
      </c>
      <c r="R82" s="209"/>
      <c r="S82" s="209"/>
      <c r="T82" s="210"/>
      <c r="U82" s="5"/>
      <c r="V82" s="5"/>
      <c r="W82" s="131"/>
      <c r="X82" s="5"/>
      <c r="Y82" s="6"/>
      <c r="Z82" s="6"/>
      <c r="AA82" s="6"/>
      <c r="AB82" s="5"/>
      <c r="AC82" s="174"/>
      <c r="AD82" s="175"/>
    </row>
    <row r="83">
      <c r="A83" s="1"/>
      <c r="B83" s="1"/>
      <c r="C83" s="176">
        <f t="shared" si="55"/>
        <v>2030</v>
      </c>
      <c r="D83" s="177" t="str">
        <f t="shared" si="60"/>
        <v>#VALUE!</v>
      </c>
      <c r="E83" s="178">
        <f t="shared" si="64"/>
        <v>-0.02</v>
      </c>
      <c r="F83" s="179" t="str">
        <f t="shared" si="56"/>
        <v>#VALUE!</v>
      </c>
      <c r="G83" s="180">
        <f t="shared" ref="G83:H83" si="65">G82</f>
        <v>0</v>
      </c>
      <c r="H83" s="181">
        <f t="shared" si="65"/>
        <v>0</v>
      </c>
      <c r="I83" s="177" t="str">
        <f t="shared" si="58"/>
        <v>#VALUE!</v>
      </c>
      <c r="J83" s="182" t="str">
        <f t="shared" si="59"/>
        <v>#VALUE!</v>
      </c>
      <c r="K83" s="201" t="s">
        <v>68</v>
      </c>
      <c r="L83" s="86"/>
      <c r="M83" s="86"/>
      <c r="N83" s="184" t="str">
        <f>sum(J79:J83)+PV(N82,5,0,-1*N81)</f>
        <v>#VALUE!</v>
      </c>
      <c r="O83" s="202"/>
      <c r="P83" s="86"/>
      <c r="Q83" s="87"/>
      <c r="R83" s="213" t="str">
        <f>IF(Q82=0,Q82-0.03,)</f>
        <v/>
      </c>
      <c r="S83" s="206" t="s">
        <v>60</v>
      </c>
      <c r="T83" s="214" t="str">
        <f>IF(Q82=0,Q82+0.02,)</f>
        <v/>
      </c>
      <c r="U83" s="5"/>
      <c r="V83" s="5"/>
      <c r="W83" s="131"/>
      <c r="X83" s="5"/>
      <c r="Y83" s="6"/>
      <c r="Z83" s="6"/>
      <c r="AA83" s="6"/>
      <c r="AB83" s="5"/>
      <c r="AC83" s="174"/>
      <c r="AD83" s="175"/>
    </row>
    <row r="84" ht="16.5" customHeight="1">
      <c r="A84" s="1"/>
      <c r="B84" s="1"/>
      <c r="C84" s="1"/>
      <c r="D84" s="1"/>
      <c r="E84" s="1"/>
      <c r="F84" s="1"/>
      <c r="G84" s="1"/>
      <c r="H84" s="1"/>
      <c r="I84" s="1"/>
      <c r="J84" s="1"/>
      <c r="K84" s="1"/>
      <c r="L84" s="1"/>
      <c r="M84" s="1"/>
      <c r="N84" s="1"/>
      <c r="P84" s="1"/>
      <c r="Q84" s="1"/>
      <c r="R84" s="1"/>
      <c r="S84" s="1"/>
      <c r="T84" s="1"/>
      <c r="U84" s="5"/>
      <c r="V84" s="6"/>
      <c r="W84" s="6"/>
      <c r="X84" s="6"/>
      <c r="Y84" s="6"/>
      <c r="Z84" s="6"/>
      <c r="AA84" s="6"/>
      <c r="AB84" s="5"/>
      <c r="AC84" s="174"/>
      <c r="AD84" s="175"/>
    </row>
    <row r="85">
      <c r="A85" s="1"/>
      <c r="B85" s="1"/>
      <c r="C85" s="138" t="s">
        <v>69</v>
      </c>
      <c r="D85" s="3"/>
      <c r="E85" s="3"/>
      <c r="F85" s="3"/>
      <c r="G85" s="3"/>
      <c r="H85" s="3"/>
      <c r="I85" s="3"/>
      <c r="J85" s="3"/>
      <c r="K85" s="3"/>
      <c r="L85" s="3"/>
      <c r="M85" s="3"/>
      <c r="N85" s="3"/>
      <c r="O85" s="3"/>
      <c r="P85" s="3"/>
      <c r="Q85" s="3"/>
      <c r="R85" s="3"/>
      <c r="S85" s="3"/>
      <c r="T85" s="4"/>
      <c r="U85" s="5"/>
      <c r="V85" s="5"/>
      <c r="W85" s="5"/>
      <c r="X85" s="6"/>
      <c r="Y85" s="6"/>
      <c r="Z85" s="6"/>
      <c r="AA85" s="6"/>
      <c r="AB85" s="5"/>
      <c r="AC85" s="132"/>
      <c r="AD85" s="133"/>
    </row>
    <row r="86">
      <c r="A86" s="1"/>
      <c r="B86" s="1"/>
      <c r="C86" s="139"/>
      <c r="D86" s="140" t="s">
        <v>55</v>
      </c>
      <c r="E86" s="141" t="s">
        <v>56</v>
      </c>
      <c r="F86" s="141" t="s">
        <v>31</v>
      </c>
      <c r="G86" s="141" t="s">
        <v>24</v>
      </c>
      <c r="H86" s="141" t="s">
        <v>36</v>
      </c>
      <c r="I86" s="141" t="s">
        <v>57</v>
      </c>
      <c r="J86" s="142" t="s">
        <v>58</v>
      </c>
      <c r="K86" s="215" t="s">
        <v>70</v>
      </c>
      <c r="L86" s="75"/>
      <c r="M86" s="75"/>
      <c r="N86" s="144">
        <f>N61-2</f>
        <v>-2</v>
      </c>
      <c r="O86" s="145"/>
      <c r="P86" s="146" t="s">
        <v>8</v>
      </c>
      <c r="Q86" s="147" t="str">
        <f t="array" ref="Q86">if(countif(G88:H90,"=0")=10,"NA",IRR({-1*P$53,I88,I89,I90+N90}))</f>
        <v>#N/A</v>
      </c>
      <c r="R86" s="148" t="str">
        <f>IFERROR(Q86-0.03,)</f>
        <v/>
      </c>
      <c r="S86" s="149" t="s">
        <v>60</v>
      </c>
      <c r="T86" s="150" t="str">
        <f>IFERROR(Q86+0.02,)</f>
        <v/>
      </c>
      <c r="U86" s="5"/>
      <c r="V86" s="151" t="s">
        <v>61</v>
      </c>
      <c r="W86" s="5"/>
      <c r="X86" s="6"/>
      <c r="Y86" s="6"/>
      <c r="Z86" s="6"/>
      <c r="AA86" s="6"/>
      <c r="AB86" s="5"/>
      <c r="AC86" s="132"/>
      <c r="AD86" s="133"/>
    </row>
    <row r="87">
      <c r="A87" s="1"/>
      <c r="B87" s="1"/>
      <c r="C87" s="137"/>
      <c r="D87" s="152"/>
      <c r="E87" s="86"/>
      <c r="F87" s="86"/>
      <c r="G87" s="86"/>
      <c r="I87" s="86"/>
      <c r="J87" s="87"/>
      <c r="K87" s="216" t="s">
        <v>71</v>
      </c>
      <c r="N87" s="153" t="str">
        <f>F90*N86</f>
        <v>#VALUE!</v>
      </c>
      <c r="O87" s="1"/>
      <c r="Q87" s="47"/>
      <c r="R87" s="154" t="s">
        <v>11</v>
      </c>
      <c r="T87" s="47"/>
      <c r="U87" s="5"/>
      <c r="V87" s="5"/>
      <c r="W87" s="5"/>
      <c r="X87" s="6"/>
      <c r="Y87" s="6"/>
      <c r="Z87" s="155"/>
      <c r="AA87" s="6"/>
      <c r="AB87" s="5"/>
      <c r="AC87" s="132"/>
      <c r="AD87" s="133"/>
    </row>
    <row r="88">
      <c r="A88" s="1"/>
      <c r="B88" s="1"/>
      <c r="C88" s="164">
        <f t="shared" ref="C88:C90" si="67">C79</f>
        <v>2026</v>
      </c>
      <c r="D88" s="157" t="str">
        <f>D$53*(1+E88)</f>
        <v>#VALUE!</v>
      </c>
      <c r="E88" s="158" t="str">
        <f>E63</f>
        <v/>
      </c>
      <c r="F88" s="157" t="str">
        <f t="shared" ref="F88:F90" si="68">G88*D88</f>
        <v>#VALUE!</v>
      </c>
      <c r="G88" s="158" t="str">
        <f t="shared" ref="G88:H88" si="66">G63</f>
        <v/>
      </c>
      <c r="H88" s="159" t="str">
        <f t="shared" si="66"/>
        <v/>
      </c>
      <c r="I88" s="157" t="str">
        <f t="shared" ref="I88:I90" si="70">H88*D88</f>
        <v>#VALUE!</v>
      </c>
      <c r="J88" s="160" t="str">
        <f t="shared" ref="J88:J90" si="71">I88/(1+N$66)^(C88-C$63+1)</f>
        <v>#VALUE!</v>
      </c>
      <c r="K88" s="41" t="s">
        <v>37</v>
      </c>
      <c r="N88" s="153">
        <f>M$53</f>
        <v>0</v>
      </c>
      <c r="O88" s="1"/>
      <c r="P88" s="161" t="s">
        <v>63</v>
      </c>
      <c r="Q88" s="162" t="str">
        <f>if(Q86="NA","-",(N92/P$53)*I$6)</f>
        <v>#N/A</v>
      </c>
      <c r="R88" s="154"/>
      <c r="S88" s="154"/>
      <c r="T88" s="163"/>
      <c r="U88" s="5"/>
      <c r="V88" s="5"/>
      <c r="W88" s="5"/>
      <c r="X88" s="6"/>
      <c r="Y88" s="6"/>
      <c r="Z88" s="155"/>
      <c r="AA88" s="6"/>
      <c r="AB88" s="5"/>
      <c r="AC88" s="132"/>
      <c r="AD88" s="133"/>
    </row>
    <row r="89">
      <c r="A89" s="1"/>
      <c r="B89" s="1"/>
      <c r="C89" s="164">
        <f t="shared" si="67"/>
        <v>2027</v>
      </c>
      <c r="D89" s="157" t="str">
        <f t="shared" ref="D89:D90" si="72">D88*(1+E89)</f>
        <v>#VALUE!</v>
      </c>
      <c r="E89" s="171">
        <f t="shared" ref="E89:E90" si="73">E88-1%</f>
        <v>-0.01</v>
      </c>
      <c r="F89" s="166" t="str">
        <f t="shared" si="68"/>
        <v>#VALUE!</v>
      </c>
      <c r="G89" s="167" t="str">
        <f t="shared" ref="G89:H89" si="69">G88</f>
        <v/>
      </c>
      <c r="H89" s="165" t="str">
        <f t="shared" si="69"/>
        <v/>
      </c>
      <c r="I89" s="157" t="str">
        <f t="shared" si="70"/>
        <v>#VALUE!</v>
      </c>
      <c r="J89" s="160" t="str">
        <f t="shared" si="71"/>
        <v>#VALUE!</v>
      </c>
      <c r="K89" s="41" t="s">
        <v>64</v>
      </c>
      <c r="N89" s="168">
        <v>0.0</v>
      </c>
      <c r="O89" s="1"/>
      <c r="Q89" s="47"/>
      <c r="R89" s="217" t="str">
        <f>IFERROR(Q88-(Q88*0.05),)</f>
        <v/>
      </c>
      <c r="S89" s="149" t="s">
        <v>60</v>
      </c>
      <c r="T89" s="218" t="str">
        <f>IFERROR(Q88+(Q88*0.05),)</f>
        <v/>
      </c>
      <c r="U89" s="5"/>
      <c r="V89" s="5"/>
      <c r="W89" s="5"/>
      <c r="X89" s="6"/>
      <c r="Y89" s="6"/>
      <c r="Z89" s="155"/>
      <c r="AA89" s="6"/>
      <c r="AB89" s="5"/>
      <c r="AC89" s="132"/>
      <c r="AD89" s="133"/>
    </row>
    <row r="90">
      <c r="A90" s="1"/>
      <c r="B90" s="1"/>
      <c r="C90" s="164">
        <f t="shared" si="67"/>
        <v>2028</v>
      </c>
      <c r="D90" s="157" t="str">
        <f t="shared" si="72"/>
        <v>#VALUE!</v>
      </c>
      <c r="E90" s="171">
        <f t="shared" si="73"/>
        <v>-0.02</v>
      </c>
      <c r="F90" s="166" t="str">
        <f t="shared" si="68"/>
        <v>#VALUE!</v>
      </c>
      <c r="G90" s="167" t="str">
        <f t="shared" ref="G90:H90" si="74">G89</f>
        <v/>
      </c>
      <c r="H90" s="165" t="str">
        <f t="shared" si="74"/>
        <v/>
      </c>
      <c r="I90" s="157" t="str">
        <f t="shared" si="70"/>
        <v>#VALUE!</v>
      </c>
      <c r="J90" s="160" t="str">
        <f t="shared" si="71"/>
        <v>#VALUE!</v>
      </c>
      <c r="K90" s="216" t="s">
        <v>72</v>
      </c>
      <c r="N90" s="164" t="str">
        <f>N87-N88+N89*1000000</f>
        <v>#VALUE!</v>
      </c>
      <c r="O90" s="1"/>
      <c r="Q90" s="47"/>
      <c r="R90" s="154"/>
      <c r="T90" s="47"/>
      <c r="U90" s="5"/>
      <c r="V90" s="5"/>
      <c r="W90" s="5"/>
      <c r="X90" s="6"/>
      <c r="Y90" s="6"/>
      <c r="Z90" s="155"/>
      <c r="AA90" s="6"/>
      <c r="AB90" s="5"/>
      <c r="AC90" s="132"/>
      <c r="AD90" s="133"/>
    </row>
    <row r="91">
      <c r="A91" s="1"/>
      <c r="B91" s="1"/>
      <c r="C91" s="164"/>
      <c r="D91" s="157"/>
      <c r="E91" s="167"/>
      <c r="F91" s="166"/>
      <c r="G91" s="167"/>
      <c r="H91" s="165"/>
      <c r="I91" s="157"/>
      <c r="J91" s="160"/>
      <c r="K91" s="69" t="s">
        <v>66</v>
      </c>
      <c r="N91" s="172">
        <v>0.1</v>
      </c>
      <c r="O91" s="1"/>
      <c r="P91" s="219" t="s">
        <v>73</v>
      </c>
      <c r="Q91" s="173" t="str">
        <f t="array" ref="Q91">if(Q86="NA","-",(npv(Q86,I88:I89,I90)*(1+Q86)^3+N90)/P$53-1)</f>
        <v>#N/A</v>
      </c>
      <c r="R91" s="154"/>
      <c r="S91" s="154"/>
      <c r="T91" s="163"/>
      <c r="U91" s="5"/>
      <c r="V91" s="5"/>
      <c r="W91" s="5"/>
      <c r="X91" s="6"/>
      <c r="Y91" s="6"/>
      <c r="Z91" s="155"/>
      <c r="AA91" s="6"/>
      <c r="AB91" s="5"/>
      <c r="AC91" s="174"/>
      <c r="AD91" s="175"/>
    </row>
    <row r="92">
      <c r="A92" s="1"/>
      <c r="B92" s="1"/>
      <c r="C92" s="176"/>
      <c r="D92" s="177"/>
      <c r="E92" s="180"/>
      <c r="F92" s="179"/>
      <c r="G92" s="180"/>
      <c r="H92" s="181"/>
      <c r="I92" s="177"/>
      <c r="J92" s="182"/>
      <c r="K92" s="183" t="s">
        <v>74</v>
      </c>
      <c r="L92" s="86"/>
      <c r="M92" s="86"/>
      <c r="N92" s="184" t="str">
        <f>sum(J88:J90)+PV(N91,5,0,-1*N90)</f>
        <v>#VALUE!</v>
      </c>
      <c r="O92" s="185"/>
      <c r="P92" s="86"/>
      <c r="Q92" s="87"/>
      <c r="R92" s="186" t="str">
        <f>IF(Q91=0,Q91-0.03,)</f>
        <v>#N/A</v>
      </c>
      <c r="S92" s="149" t="s">
        <v>60</v>
      </c>
      <c r="T92" s="187" t="str">
        <f>IF(Q91=0,Q91+0.02,)</f>
        <v>#N/A</v>
      </c>
      <c r="U92" s="5"/>
      <c r="V92" s="5"/>
      <c r="W92" s="5"/>
      <c r="X92" s="6"/>
      <c r="Y92" s="6"/>
      <c r="Z92" s="155"/>
      <c r="AA92" s="6"/>
      <c r="AB92" s="5"/>
      <c r="AC92" s="174"/>
      <c r="AD92" s="175"/>
    </row>
    <row r="93">
      <c r="A93" s="1"/>
      <c r="B93" s="1"/>
      <c r="C93" s="1"/>
      <c r="D93" s="1"/>
      <c r="E93" s="1"/>
      <c r="F93" s="1"/>
      <c r="G93" s="1"/>
      <c r="H93" s="1"/>
      <c r="I93" s="1"/>
      <c r="J93" s="1"/>
      <c r="K93" s="1"/>
      <c r="L93" s="99"/>
      <c r="M93" s="1"/>
      <c r="N93" s="1"/>
      <c r="O93" s="99"/>
      <c r="P93" s="1"/>
      <c r="Q93" s="1"/>
      <c r="R93" s="1"/>
      <c r="S93" s="1"/>
      <c r="U93" s="5"/>
      <c r="V93" s="5"/>
      <c r="W93" s="5"/>
      <c r="X93" s="5"/>
      <c r="Y93" s="6"/>
      <c r="Z93" s="6"/>
      <c r="AA93" s="6"/>
      <c r="AB93" s="5"/>
      <c r="AC93" s="174"/>
      <c r="AD93" s="175"/>
    </row>
    <row r="94">
      <c r="A94" s="1"/>
      <c r="B94" s="1"/>
      <c r="C94" s="139"/>
      <c r="D94" s="140" t="s">
        <v>55</v>
      </c>
      <c r="E94" s="141" t="s">
        <v>56</v>
      </c>
      <c r="F94" s="141" t="s">
        <v>31</v>
      </c>
      <c r="G94" s="141" t="s">
        <v>24</v>
      </c>
      <c r="H94" s="141" t="s">
        <v>36</v>
      </c>
      <c r="I94" s="141" t="s">
        <v>57</v>
      </c>
      <c r="J94" s="142" t="s">
        <v>58</v>
      </c>
      <c r="K94" s="215" t="s">
        <v>70</v>
      </c>
      <c r="L94" s="75"/>
      <c r="M94" s="75"/>
      <c r="N94" s="188">
        <f>N69-3</f>
        <v>-3</v>
      </c>
      <c r="O94" s="145"/>
      <c r="P94" s="189" t="s">
        <v>8</v>
      </c>
      <c r="Q94" s="190" t="str">
        <f t="array" ref="Q94">if(countif(G96:H98,"=0")=10,"NA",IRR({-1*P$53,I96,I97,I98+N98}))</f>
        <v>#N/A</v>
      </c>
      <c r="R94" s="191" t="str">
        <f>IFERROR(Q94-0.03,)</f>
        <v/>
      </c>
      <c r="S94" s="192" t="s">
        <v>60</v>
      </c>
      <c r="T94" s="193" t="str">
        <f>IFERROR(Q94+0.02,)</f>
        <v/>
      </c>
      <c r="U94" s="5"/>
      <c r="V94" s="5"/>
      <c r="W94" s="5"/>
      <c r="X94" s="5"/>
      <c r="Y94" s="6"/>
      <c r="Z94" s="6"/>
      <c r="AA94" s="6"/>
      <c r="AB94" s="5"/>
      <c r="AC94" s="174"/>
      <c r="AD94" s="175"/>
    </row>
    <row r="95">
      <c r="A95" s="1"/>
      <c r="B95" s="1"/>
      <c r="C95" s="137"/>
      <c r="D95" s="152"/>
      <c r="E95" s="86"/>
      <c r="F95" s="86"/>
      <c r="G95" s="86"/>
      <c r="I95" s="86"/>
      <c r="J95" s="87"/>
      <c r="K95" s="216" t="s">
        <v>71</v>
      </c>
      <c r="N95" s="153" t="str">
        <f>F98*N94</f>
        <v>#VALUE!</v>
      </c>
      <c r="O95" s="12"/>
      <c r="Q95" s="47"/>
      <c r="R95" s="194" t="s">
        <v>12</v>
      </c>
      <c r="S95" s="75"/>
      <c r="T95" s="76"/>
      <c r="U95" s="5"/>
      <c r="V95" s="5"/>
      <c r="W95" s="5"/>
      <c r="X95" s="5"/>
      <c r="Y95" s="6"/>
      <c r="Z95" s="6"/>
      <c r="AA95" s="6"/>
      <c r="AB95" s="5"/>
      <c r="AC95" s="174"/>
      <c r="AD95" s="175"/>
    </row>
    <row r="96">
      <c r="A96" s="1"/>
      <c r="B96" s="1"/>
      <c r="C96" s="164">
        <f t="shared" ref="C96:C98" si="76">C88</f>
        <v>2026</v>
      </c>
      <c r="D96" s="157" t="str">
        <f>D$53*(1+E96)</f>
        <v>#VALUE!</v>
      </c>
      <c r="E96" s="158">
        <f>E71</f>
        <v>0</v>
      </c>
      <c r="F96" s="157" t="str">
        <f t="shared" ref="F96:F98" si="77">G96*D96</f>
        <v>#VALUE!</v>
      </c>
      <c r="G96" s="158">
        <f t="shared" ref="G96:H96" si="75">G71</f>
        <v>0</v>
      </c>
      <c r="H96" s="159">
        <f t="shared" si="75"/>
        <v>0</v>
      </c>
      <c r="I96" s="157" t="str">
        <f t="shared" ref="I96:I98" si="79">H96*D96</f>
        <v>#VALUE!</v>
      </c>
      <c r="J96" s="160" t="str">
        <f t="shared" ref="J96:J98" si="80">I96/(1+N$74)^(C96-C$71+1)</f>
        <v>#VALUE!</v>
      </c>
      <c r="K96" s="41" t="s">
        <v>37</v>
      </c>
      <c r="N96" s="153">
        <f>M$53</f>
        <v>0</v>
      </c>
      <c r="O96" s="12"/>
      <c r="P96" s="161" t="s">
        <v>63</v>
      </c>
      <c r="Q96" s="162" t="str">
        <f>if(Q94="NA","-",(N100/P$53)*I$6)</f>
        <v>#N/A</v>
      </c>
      <c r="R96" s="195"/>
      <c r="S96" s="195"/>
      <c r="T96" s="196"/>
      <c r="U96" s="5"/>
      <c r="V96" s="5"/>
      <c r="W96" s="60"/>
      <c r="X96" s="5"/>
      <c r="Y96" s="6"/>
      <c r="Z96" s="6"/>
      <c r="AA96" s="6"/>
      <c r="AB96" s="5"/>
      <c r="AC96" s="174"/>
      <c r="AD96" s="175"/>
    </row>
    <row r="97">
      <c r="A97" s="1"/>
      <c r="B97" s="1"/>
      <c r="C97" s="164">
        <f t="shared" si="76"/>
        <v>2027</v>
      </c>
      <c r="D97" s="157" t="str">
        <f t="shared" ref="D97:D98" si="81">D96*(1+E97)</f>
        <v>#VALUE!</v>
      </c>
      <c r="E97" s="171">
        <f t="shared" ref="E97:E98" si="82">E96-1%</f>
        <v>-0.01</v>
      </c>
      <c r="F97" s="166" t="str">
        <f t="shared" si="77"/>
        <v>#VALUE!</v>
      </c>
      <c r="G97" s="167">
        <f t="shared" ref="G97:H97" si="78">G96</f>
        <v>0</v>
      </c>
      <c r="H97" s="165">
        <f t="shared" si="78"/>
        <v>0</v>
      </c>
      <c r="I97" s="157" t="str">
        <f t="shared" si="79"/>
        <v>#VALUE!</v>
      </c>
      <c r="J97" s="160" t="str">
        <f t="shared" si="80"/>
        <v>#VALUE!</v>
      </c>
      <c r="K97" s="41" t="s">
        <v>64</v>
      </c>
      <c r="N97" s="168">
        <v>0.0</v>
      </c>
      <c r="O97" s="197"/>
      <c r="Q97" s="47"/>
      <c r="R97" s="220" t="str">
        <f>IFERROR(Q96-(Q96*0.05),)</f>
        <v/>
      </c>
      <c r="S97" s="192" t="s">
        <v>60</v>
      </c>
      <c r="T97" s="221" t="str">
        <f>IFERROR(Q96+(Q96*0.05),)</f>
        <v/>
      </c>
      <c r="U97" s="5"/>
      <c r="V97" s="5"/>
      <c r="W97" s="60"/>
      <c r="X97" s="5"/>
      <c r="Y97" s="6"/>
      <c r="Z97" s="6"/>
      <c r="AA97" s="6"/>
      <c r="AB97" s="5"/>
      <c r="AC97" s="174"/>
      <c r="AD97" s="175"/>
    </row>
    <row r="98">
      <c r="A98" s="1"/>
      <c r="B98" s="1"/>
      <c r="C98" s="164">
        <f t="shared" si="76"/>
        <v>2028</v>
      </c>
      <c r="D98" s="157" t="str">
        <f t="shared" si="81"/>
        <v>#VALUE!</v>
      </c>
      <c r="E98" s="171">
        <f t="shared" si="82"/>
        <v>-0.02</v>
      </c>
      <c r="F98" s="166" t="str">
        <f t="shared" si="77"/>
        <v>#VALUE!</v>
      </c>
      <c r="G98" s="167">
        <f t="shared" ref="G98:H98" si="83">G97</f>
        <v>0</v>
      </c>
      <c r="H98" s="165">
        <f t="shared" si="83"/>
        <v>0</v>
      </c>
      <c r="I98" s="157" t="str">
        <f t="shared" si="79"/>
        <v>#VALUE!</v>
      </c>
      <c r="J98" s="160" t="str">
        <f t="shared" si="80"/>
        <v>#VALUE!</v>
      </c>
      <c r="K98" s="216" t="s">
        <v>72</v>
      </c>
      <c r="N98" s="153" t="str">
        <f>N95-N96+N97*1000000</f>
        <v>#VALUE!</v>
      </c>
      <c r="O98" s="12"/>
      <c r="Q98" s="47"/>
      <c r="R98" s="194"/>
      <c r="S98" s="75"/>
      <c r="T98" s="76"/>
      <c r="U98" s="5"/>
      <c r="V98" s="5"/>
      <c r="W98" s="60"/>
      <c r="X98" s="5"/>
      <c r="Y98" s="6"/>
      <c r="Z98" s="6"/>
      <c r="AA98" s="6"/>
      <c r="AB98" s="5"/>
      <c r="AC98" s="174"/>
      <c r="AD98" s="175"/>
    </row>
    <row r="99">
      <c r="A99" s="1"/>
      <c r="B99" s="1"/>
      <c r="C99" s="164"/>
      <c r="D99" s="157"/>
      <c r="E99" s="167"/>
      <c r="F99" s="166"/>
      <c r="G99" s="167"/>
      <c r="H99" s="165"/>
      <c r="I99" s="157"/>
      <c r="J99" s="160"/>
      <c r="K99" s="69" t="s">
        <v>66</v>
      </c>
      <c r="N99" s="172">
        <f>N91</f>
        <v>0.1</v>
      </c>
      <c r="O99" s="12"/>
      <c r="P99" s="219" t="s">
        <v>73</v>
      </c>
      <c r="Q99" s="173" t="str">
        <f t="array" ref="Q99">if(Q94="NA","-",(npv(Q94,I96:I97,I98)*(1+Q94)^3+N98)/P$53-1)</f>
        <v>#N/A</v>
      </c>
      <c r="R99" s="195"/>
      <c r="S99" s="195"/>
      <c r="T99" s="196"/>
      <c r="U99" s="5"/>
      <c r="V99" s="5"/>
      <c r="W99" s="131"/>
      <c r="X99" s="5"/>
      <c r="Y99" s="6"/>
      <c r="Z99" s="6"/>
      <c r="AA99" s="6"/>
      <c r="AB99" s="5"/>
      <c r="AC99" s="174"/>
      <c r="AD99" s="175"/>
    </row>
    <row r="100">
      <c r="A100" s="1"/>
      <c r="B100" s="1"/>
      <c r="C100" s="176"/>
      <c r="D100" s="177"/>
      <c r="E100" s="180"/>
      <c r="F100" s="179"/>
      <c r="G100" s="180"/>
      <c r="H100" s="181"/>
      <c r="I100" s="177"/>
      <c r="J100" s="182"/>
      <c r="K100" s="183" t="s">
        <v>74</v>
      </c>
      <c r="L100" s="86"/>
      <c r="M100" s="86"/>
      <c r="N100" s="184" t="str">
        <f>sum(J96:J98)+PV(N99,5,0,-1*N98)</f>
        <v>#VALUE!</v>
      </c>
      <c r="O100" s="202"/>
      <c r="P100" s="86"/>
      <c r="Q100" s="87"/>
      <c r="R100" s="203" t="str">
        <f>IF(Q99=0,Q99-0.03,)</f>
        <v>#N/A</v>
      </c>
      <c r="S100" s="192" t="s">
        <v>60</v>
      </c>
      <c r="T100" s="204" t="str">
        <f>IF(Q99=0,Q99+0.02,)</f>
        <v>#N/A</v>
      </c>
      <c r="U100" s="5"/>
      <c r="V100" s="5"/>
      <c r="W100" s="131"/>
      <c r="X100" s="5"/>
      <c r="Y100" s="6"/>
      <c r="Z100" s="6"/>
      <c r="AA100" s="6"/>
      <c r="AB100" s="5"/>
      <c r="AC100" s="174"/>
      <c r="AD100" s="175"/>
    </row>
    <row r="101">
      <c r="A101" s="1"/>
      <c r="B101" s="1"/>
      <c r="C101" s="1"/>
      <c r="D101" s="1"/>
      <c r="E101" s="1"/>
      <c r="F101" s="1"/>
      <c r="G101" s="1"/>
      <c r="H101" s="1"/>
      <c r="I101" s="1"/>
      <c r="J101" s="1"/>
      <c r="K101" s="1"/>
      <c r="L101" s="99"/>
      <c r="M101" s="1"/>
      <c r="N101" s="1"/>
      <c r="O101" s="8"/>
      <c r="P101" s="1"/>
      <c r="Q101" s="1"/>
      <c r="R101" s="1"/>
      <c r="S101" s="1"/>
      <c r="U101" s="5"/>
      <c r="V101" s="5"/>
      <c r="W101" s="5"/>
      <c r="X101" s="5"/>
      <c r="Y101" s="6"/>
      <c r="Z101" s="6"/>
      <c r="AA101" s="6"/>
      <c r="AB101" s="5"/>
      <c r="AC101" s="174"/>
      <c r="AD101" s="175"/>
    </row>
    <row r="102">
      <c r="A102" s="1"/>
      <c r="B102" s="1"/>
      <c r="C102" s="139"/>
      <c r="D102" s="140" t="s">
        <v>55</v>
      </c>
      <c r="E102" s="141" t="s">
        <v>56</v>
      </c>
      <c r="F102" s="141" t="s">
        <v>31</v>
      </c>
      <c r="G102" s="141" t="s">
        <v>24</v>
      </c>
      <c r="H102" s="141" t="s">
        <v>36</v>
      </c>
      <c r="I102" s="141" t="s">
        <v>57</v>
      </c>
      <c r="J102" s="142" t="s">
        <v>58</v>
      </c>
      <c r="K102" s="215" t="s">
        <v>70</v>
      </c>
      <c r="L102" s="75"/>
      <c r="M102" s="75"/>
      <c r="N102" s="188">
        <f>N77-2</f>
        <v>-2</v>
      </c>
      <c r="O102" s="145"/>
      <c r="P102" s="189" t="s">
        <v>8</v>
      </c>
      <c r="Q102" s="190" t="str">
        <f t="array" ref="Q102">if(countif(G104:H106,"=0")=10,"NA",IRR({-1*P$53,I104,I105,I106+N106}))</f>
        <v>#N/A</v>
      </c>
      <c r="R102" s="205" t="str">
        <f>IFERROR(Q102-0.03,)</f>
        <v/>
      </c>
      <c r="S102" s="206" t="s">
        <v>60</v>
      </c>
      <c r="T102" s="207" t="str">
        <f>IFERROR(Q102+0.02,)</f>
        <v/>
      </c>
      <c r="U102" s="5"/>
      <c r="V102" s="5"/>
      <c r="W102" s="5"/>
      <c r="X102" s="5"/>
      <c r="Y102" s="6"/>
      <c r="Z102" s="6"/>
      <c r="AA102" s="6"/>
      <c r="AB102" s="5"/>
      <c r="AC102" s="174"/>
      <c r="AD102" s="175"/>
    </row>
    <row r="103">
      <c r="A103" s="1"/>
      <c r="B103" s="1"/>
      <c r="C103" s="137"/>
      <c r="D103" s="152"/>
      <c r="E103" s="86"/>
      <c r="F103" s="86"/>
      <c r="G103" s="86"/>
      <c r="I103" s="86"/>
      <c r="J103" s="87"/>
      <c r="K103" s="216" t="s">
        <v>71</v>
      </c>
      <c r="N103" s="153" t="str">
        <f>F106*N102</f>
        <v>#VALUE!</v>
      </c>
      <c r="O103" s="12"/>
      <c r="Q103" s="47"/>
      <c r="R103" s="208" t="s">
        <v>15</v>
      </c>
      <c r="S103" s="75"/>
      <c r="T103" s="76"/>
      <c r="U103" s="5"/>
      <c r="V103" s="5"/>
      <c r="W103" s="5"/>
      <c r="X103" s="5"/>
      <c r="Y103" s="6"/>
      <c r="Z103" s="6"/>
      <c r="AA103" s="6"/>
      <c r="AB103" s="5"/>
      <c r="AC103" s="174"/>
      <c r="AD103" s="175"/>
    </row>
    <row r="104">
      <c r="A104" s="1"/>
      <c r="B104" s="1"/>
      <c r="C104" s="164">
        <f t="shared" ref="C104:C106" si="85">C96</f>
        <v>2026</v>
      </c>
      <c r="D104" s="157" t="str">
        <f>D$53*(1+E104)</f>
        <v>#VALUE!</v>
      </c>
      <c r="E104" s="158">
        <f>E79</f>
        <v>0</v>
      </c>
      <c r="F104" s="157" t="str">
        <f t="shared" ref="F104:F106" si="86">G104*D104</f>
        <v>#VALUE!</v>
      </c>
      <c r="G104" s="158">
        <f t="shared" ref="G104:H104" si="84">G79</f>
        <v>0</v>
      </c>
      <c r="H104" s="159">
        <f t="shared" si="84"/>
        <v>0</v>
      </c>
      <c r="I104" s="157" t="str">
        <f t="shared" ref="I104:I106" si="88">H104*D104</f>
        <v>#VALUE!</v>
      </c>
      <c r="J104" s="160" t="str">
        <f t="shared" ref="J104:J106" si="89">I104/(1+N$82)^(C104-C$79+1)</f>
        <v>#VALUE!</v>
      </c>
      <c r="K104" s="41" t="s">
        <v>37</v>
      </c>
      <c r="N104" s="153">
        <f>M$53</f>
        <v>0</v>
      </c>
      <c r="O104" s="12"/>
      <c r="P104" s="161" t="s">
        <v>63</v>
      </c>
      <c r="Q104" s="162" t="str">
        <f>if(Q102="NA","-",(N108/P$53)*I$6)</f>
        <v>#N/A</v>
      </c>
      <c r="R104" s="209"/>
      <c r="S104" s="209"/>
      <c r="T104" s="210"/>
      <c r="U104" s="5"/>
      <c r="V104" s="5"/>
      <c r="W104" s="60"/>
      <c r="X104" s="5"/>
      <c r="Y104" s="6"/>
      <c r="Z104" s="6"/>
      <c r="AA104" s="6"/>
      <c r="AB104" s="5"/>
      <c r="AC104" s="174"/>
      <c r="AD104" s="175"/>
    </row>
    <row r="105">
      <c r="A105" s="1"/>
      <c r="B105" s="1"/>
      <c r="C105" s="164">
        <f t="shared" si="85"/>
        <v>2027</v>
      </c>
      <c r="D105" s="157" t="str">
        <f t="shared" ref="D105:D106" si="90">D104*(1+E105)</f>
        <v>#VALUE!</v>
      </c>
      <c r="E105" s="171">
        <f t="shared" ref="E105:E106" si="91">E104-1%</f>
        <v>-0.01</v>
      </c>
      <c r="F105" s="166" t="str">
        <f t="shared" si="86"/>
        <v>#VALUE!</v>
      </c>
      <c r="G105" s="167">
        <f t="shared" ref="G105:H105" si="87">G104</f>
        <v>0</v>
      </c>
      <c r="H105" s="165">
        <f t="shared" si="87"/>
        <v>0</v>
      </c>
      <c r="I105" s="157" t="str">
        <f t="shared" si="88"/>
        <v>#VALUE!</v>
      </c>
      <c r="J105" s="160" t="str">
        <f t="shared" si="89"/>
        <v>#VALUE!</v>
      </c>
      <c r="K105" s="41" t="s">
        <v>64</v>
      </c>
      <c r="N105" s="168">
        <v>0.0</v>
      </c>
      <c r="O105" s="12"/>
      <c r="Q105" s="47"/>
      <c r="R105" s="222" t="str">
        <f>IFERROR(Q104-(Q104*0.05),)</f>
        <v/>
      </c>
      <c r="S105" s="206" t="s">
        <v>60</v>
      </c>
      <c r="T105" s="223" t="str">
        <f>IFERROR(Q104+(Q104*0.05),)</f>
        <v/>
      </c>
      <c r="U105" s="5"/>
      <c r="V105" s="5"/>
      <c r="W105" s="60"/>
      <c r="X105" s="5"/>
      <c r="Y105" s="6"/>
      <c r="Z105" s="6"/>
      <c r="AA105" s="6"/>
      <c r="AB105" s="5"/>
      <c r="AC105" s="174"/>
      <c r="AD105" s="175"/>
    </row>
    <row r="106">
      <c r="A106" s="1"/>
      <c r="B106" s="1"/>
      <c r="C106" s="164">
        <f t="shared" si="85"/>
        <v>2028</v>
      </c>
      <c r="D106" s="157" t="str">
        <f t="shared" si="90"/>
        <v>#VALUE!</v>
      </c>
      <c r="E106" s="171">
        <f t="shared" si="91"/>
        <v>-0.02</v>
      </c>
      <c r="F106" s="166" t="str">
        <f t="shared" si="86"/>
        <v>#VALUE!</v>
      </c>
      <c r="G106" s="167">
        <f t="shared" ref="G106:H106" si="92">G105</f>
        <v>0</v>
      </c>
      <c r="H106" s="165">
        <f t="shared" si="92"/>
        <v>0</v>
      </c>
      <c r="I106" s="157" t="str">
        <f t="shared" si="88"/>
        <v>#VALUE!</v>
      </c>
      <c r="J106" s="160" t="str">
        <f t="shared" si="89"/>
        <v>#VALUE!</v>
      </c>
      <c r="K106" s="216" t="s">
        <v>72</v>
      </c>
      <c r="N106" s="153" t="str">
        <f>N103-N104+N105*1000000</f>
        <v>#VALUE!</v>
      </c>
      <c r="O106" s="12"/>
      <c r="Q106" s="47"/>
      <c r="R106" s="208"/>
      <c r="S106" s="75"/>
      <c r="T106" s="76"/>
      <c r="U106" s="5"/>
      <c r="V106" s="5"/>
      <c r="W106" s="60"/>
      <c r="X106" s="5"/>
      <c r="Y106" s="6"/>
      <c r="Z106" s="6"/>
      <c r="AA106" s="6"/>
      <c r="AB106" s="5"/>
      <c r="AC106" s="174"/>
      <c r="AD106" s="175"/>
    </row>
    <row r="107">
      <c r="A107" s="1"/>
      <c r="B107" s="1"/>
      <c r="C107" s="164"/>
      <c r="D107" s="157"/>
      <c r="E107" s="167"/>
      <c r="F107" s="166"/>
      <c r="G107" s="167"/>
      <c r="H107" s="165"/>
      <c r="I107" s="157"/>
      <c r="J107" s="160"/>
      <c r="K107" s="69" t="s">
        <v>66</v>
      </c>
      <c r="N107" s="172">
        <f>N91</f>
        <v>0.1</v>
      </c>
      <c r="O107" s="12"/>
      <c r="P107" s="219" t="s">
        <v>73</v>
      </c>
      <c r="Q107" s="173" t="str">
        <f t="array" ref="Q107">if(Q102="NA","-",(npv(Q102,I104:I105,I106)*(1+Q102)^3+N106)/P$53-1)</f>
        <v>#N/A</v>
      </c>
      <c r="R107" s="209"/>
      <c r="S107" s="209"/>
      <c r="T107" s="210"/>
      <c r="U107" s="5"/>
      <c r="V107" s="5"/>
      <c r="W107" s="131"/>
      <c r="X107" s="5"/>
      <c r="Y107" s="6"/>
      <c r="Z107" s="6"/>
      <c r="AA107" s="6"/>
      <c r="AB107" s="5"/>
      <c r="AC107" s="174"/>
      <c r="AD107" s="175"/>
    </row>
    <row r="108">
      <c r="A108" s="1"/>
      <c r="B108" s="1"/>
      <c r="C108" s="176"/>
      <c r="D108" s="177"/>
      <c r="E108" s="180"/>
      <c r="F108" s="179"/>
      <c r="G108" s="180"/>
      <c r="H108" s="181"/>
      <c r="I108" s="177"/>
      <c r="J108" s="182"/>
      <c r="K108" s="183" t="s">
        <v>74</v>
      </c>
      <c r="L108" s="86"/>
      <c r="M108" s="86"/>
      <c r="N108" s="184" t="str">
        <f>sum(J104:J106)+PV(N107,5,0,-1*N106)</f>
        <v>#VALUE!</v>
      </c>
      <c r="O108" s="202"/>
      <c r="P108" s="86"/>
      <c r="Q108" s="87"/>
      <c r="R108" s="213" t="str">
        <f>IF(Q107=0,Q107-0.03,)</f>
        <v>#N/A</v>
      </c>
      <c r="S108" s="206" t="s">
        <v>60</v>
      </c>
      <c r="T108" s="214" t="str">
        <f>IF(Q107=0,Q107+0.02,)</f>
        <v>#N/A</v>
      </c>
      <c r="U108" s="5"/>
      <c r="V108" s="5"/>
      <c r="W108" s="131"/>
      <c r="X108" s="5"/>
      <c r="Y108" s="6"/>
      <c r="Z108" s="6"/>
      <c r="AA108" s="6"/>
      <c r="AB108" s="5"/>
      <c r="AC108" s="174"/>
      <c r="AD108" s="175"/>
    </row>
    <row r="109">
      <c r="A109" s="1"/>
      <c r="B109" s="1"/>
      <c r="C109" s="6"/>
      <c r="D109" s="6"/>
      <c r="E109" s="6"/>
      <c r="F109" s="6"/>
      <c r="G109" s="6"/>
      <c r="H109" s="6"/>
      <c r="I109" s="6"/>
      <c r="J109" s="6"/>
      <c r="K109" s="6"/>
      <c r="L109" s="6"/>
      <c r="M109" s="6"/>
      <c r="N109" s="6"/>
      <c r="O109" s="6"/>
      <c r="P109" s="6"/>
      <c r="Q109" s="6"/>
      <c r="R109" s="6"/>
      <c r="S109" s="6"/>
      <c r="T109" s="6"/>
      <c r="U109" s="5"/>
      <c r="V109" s="6"/>
      <c r="W109" s="6"/>
      <c r="X109" s="6"/>
      <c r="Y109" s="6"/>
      <c r="Z109" s="6"/>
      <c r="AA109" s="6"/>
      <c r="AB109" s="5"/>
      <c r="AC109" s="174"/>
      <c r="AD109" s="175"/>
    </row>
    <row r="110">
      <c r="A110" s="1"/>
      <c r="B110" s="1"/>
      <c r="C110" s="224" t="s">
        <v>75</v>
      </c>
      <c r="D110" s="3"/>
      <c r="E110" s="3"/>
      <c r="F110" s="3"/>
      <c r="G110" s="3"/>
      <c r="H110" s="3"/>
      <c r="I110" s="3"/>
      <c r="J110" s="3"/>
      <c r="K110" s="3"/>
      <c r="L110" s="3"/>
      <c r="M110" s="3"/>
      <c r="N110" s="4"/>
      <c r="P110" s="224" t="s">
        <v>76</v>
      </c>
      <c r="Q110" s="3"/>
      <c r="R110" s="3"/>
      <c r="S110" s="3"/>
      <c r="T110" s="4"/>
      <c r="U110" s="5"/>
      <c r="V110" s="6"/>
      <c r="W110" s="6"/>
      <c r="X110" s="6"/>
      <c r="Y110" s="6"/>
      <c r="Z110" s="6"/>
      <c r="AA110" s="6"/>
      <c r="AB110" s="5"/>
      <c r="AC110" s="174"/>
      <c r="AD110" s="175"/>
    </row>
    <row r="111">
      <c r="A111" s="1"/>
      <c r="B111" s="1"/>
      <c r="C111" s="225" t="s">
        <v>77</v>
      </c>
      <c r="D111" s="3"/>
      <c r="E111" s="3"/>
      <c r="F111" s="3"/>
      <c r="G111" s="3"/>
      <c r="H111" s="3"/>
      <c r="I111" s="3"/>
      <c r="J111" s="3"/>
      <c r="K111" s="3"/>
      <c r="L111" s="3"/>
      <c r="M111" s="4"/>
      <c r="N111" s="226" t="s">
        <v>78</v>
      </c>
      <c r="P111" s="227" t="s">
        <v>79</v>
      </c>
      <c r="Q111" s="228" t="s">
        <v>80</v>
      </c>
      <c r="R111" s="229" t="s">
        <v>81</v>
      </c>
      <c r="S111" s="229" t="s">
        <v>82</v>
      </c>
      <c r="T111" s="230" t="s">
        <v>83</v>
      </c>
      <c r="U111" s="5"/>
      <c r="V111" s="6"/>
      <c r="W111" s="6"/>
      <c r="X111" s="6"/>
      <c r="Y111" s="6"/>
      <c r="Z111" s="6"/>
      <c r="AA111" s="6"/>
      <c r="AB111" s="5"/>
      <c r="AC111" s="174"/>
      <c r="AD111" s="175"/>
    </row>
    <row r="112">
      <c r="A112" s="1"/>
      <c r="B112" s="1"/>
      <c r="C112" s="231" t="s">
        <v>84</v>
      </c>
      <c r="D112" s="3"/>
      <c r="E112" s="3"/>
      <c r="F112" s="3"/>
      <c r="G112" s="3"/>
      <c r="H112" s="3"/>
      <c r="I112" s="3"/>
      <c r="J112" s="3"/>
      <c r="K112" s="3"/>
      <c r="L112" s="3"/>
      <c r="M112" s="4"/>
      <c r="N112" s="226" t="s">
        <v>78</v>
      </c>
      <c r="P112" s="232" t="str">
        <f>IFERROR(__xludf.DUMMYFUNCTION("IF($C$3=""Static"",ARRAYFORMULA(P112:T116),if(ARRAY_CONSTRAIN(IMPORTHTML(""https://finviz.com/quote.ashx?t=""&amp;C5,""table"",""11""),10,5)=""[Table]"", """",CHOOSEROWS(IMPORTHTML(""https://finviz.com/quote.ashx?t=""&amp;C5,""table"",""11""),2,3,4,5,6)))"),"#REF!")</f>
        <v>#REF!</v>
      </c>
      <c r="Q112" s="233"/>
      <c r="R112" s="234"/>
      <c r="S112" s="233"/>
      <c r="T112" s="235"/>
      <c r="U112" s="5"/>
      <c r="V112" s="6"/>
      <c r="W112" s="6"/>
      <c r="X112" s="6"/>
      <c r="Y112" s="6"/>
      <c r="Z112" s="6"/>
      <c r="AA112" s="6"/>
      <c r="AB112" s="5"/>
      <c r="AC112" s="174"/>
      <c r="AD112" s="175"/>
    </row>
    <row r="113">
      <c r="A113" s="1"/>
      <c r="B113" s="1"/>
      <c r="C113" s="225" t="s">
        <v>85</v>
      </c>
      <c r="D113" s="3"/>
      <c r="E113" s="3"/>
      <c r="F113" s="3"/>
      <c r="G113" s="3"/>
      <c r="H113" s="3"/>
      <c r="I113" s="3"/>
      <c r="J113" s="3"/>
      <c r="K113" s="3"/>
      <c r="L113" s="3"/>
      <c r="M113" s="4"/>
      <c r="N113" s="226" t="s">
        <v>78</v>
      </c>
      <c r="P113" s="236"/>
      <c r="Q113" s="233"/>
      <c r="R113" s="234"/>
      <c r="S113" s="233"/>
      <c r="T113" s="235"/>
      <c r="U113" s="5"/>
      <c r="V113" s="6"/>
      <c r="W113" s="6"/>
      <c r="X113" s="6"/>
      <c r="Y113" s="6"/>
      <c r="Z113" s="6"/>
      <c r="AA113" s="6"/>
      <c r="AB113" s="5"/>
      <c r="AC113" s="174"/>
      <c r="AD113" s="175"/>
    </row>
    <row r="114">
      <c r="A114" s="1"/>
      <c r="B114" s="1"/>
      <c r="C114" s="231" t="s">
        <v>86</v>
      </c>
      <c r="D114" s="3"/>
      <c r="E114" s="3"/>
      <c r="F114" s="3"/>
      <c r="G114" s="3"/>
      <c r="H114" s="3"/>
      <c r="I114" s="3"/>
      <c r="J114" s="3"/>
      <c r="K114" s="3"/>
      <c r="L114" s="3"/>
      <c r="M114" s="4"/>
      <c r="N114" s="226" t="s">
        <v>78</v>
      </c>
      <c r="P114" s="236"/>
      <c r="Q114" s="233"/>
      <c r="R114" s="234"/>
      <c r="S114" s="233"/>
      <c r="T114" s="235"/>
      <c r="U114" s="5"/>
      <c r="V114" s="6"/>
      <c r="W114" s="6"/>
      <c r="X114" s="6"/>
      <c r="Y114" s="6"/>
      <c r="Z114" s="6"/>
      <c r="AA114" s="6"/>
      <c r="AB114" s="5"/>
      <c r="AC114" s="174"/>
      <c r="AD114" s="175"/>
    </row>
    <row r="115">
      <c r="A115" s="1"/>
      <c r="B115" s="1"/>
      <c r="C115" s="225" t="s">
        <v>87</v>
      </c>
      <c r="D115" s="3"/>
      <c r="E115" s="3"/>
      <c r="F115" s="3"/>
      <c r="G115" s="3"/>
      <c r="H115" s="3"/>
      <c r="I115" s="3"/>
      <c r="J115" s="3"/>
      <c r="K115" s="3"/>
      <c r="L115" s="3"/>
      <c r="M115" s="4"/>
      <c r="N115" s="226" t="s">
        <v>78</v>
      </c>
      <c r="P115" s="236"/>
      <c r="Q115" s="233"/>
      <c r="R115" s="234"/>
      <c r="S115" s="233"/>
      <c r="T115" s="235"/>
      <c r="U115" s="5"/>
      <c r="V115" s="6"/>
      <c r="W115" s="6"/>
      <c r="X115" s="6"/>
      <c r="Y115" s="6"/>
      <c r="Z115" s="6"/>
      <c r="AA115" s="6"/>
      <c r="AB115" s="5"/>
      <c r="AC115" s="174"/>
      <c r="AD115" s="175"/>
    </row>
    <row r="116">
      <c r="A116" s="1"/>
      <c r="B116" s="1"/>
      <c r="C116" s="231" t="s">
        <v>88</v>
      </c>
      <c r="D116" s="3"/>
      <c r="E116" s="3"/>
      <c r="F116" s="3"/>
      <c r="G116" s="3"/>
      <c r="H116" s="3"/>
      <c r="I116" s="3"/>
      <c r="J116" s="3"/>
      <c r="K116" s="3"/>
      <c r="L116" s="3"/>
      <c r="M116" s="4"/>
      <c r="N116" s="226" t="s">
        <v>78</v>
      </c>
      <c r="P116" s="236"/>
      <c r="Q116" s="233"/>
      <c r="R116" s="234"/>
      <c r="S116" s="233"/>
      <c r="T116" s="235"/>
      <c r="U116" s="5"/>
      <c r="V116" s="6"/>
      <c r="W116" s="6"/>
      <c r="X116" s="6"/>
      <c r="Y116" s="6"/>
      <c r="Z116" s="6"/>
      <c r="AA116" s="6"/>
      <c r="AB116" s="5"/>
      <c r="AC116" s="174"/>
      <c r="AD116" s="175"/>
    </row>
    <row r="117">
      <c r="A117" s="1"/>
      <c r="B117" s="1"/>
      <c r="C117" s="231" t="s">
        <v>89</v>
      </c>
      <c r="D117" s="3"/>
      <c r="E117" s="3"/>
      <c r="F117" s="3"/>
      <c r="G117" s="3"/>
      <c r="H117" s="3"/>
      <c r="I117" s="3"/>
      <c r="J117" s="3"/>
      <c r="K117" s="3"/>
      <c r="L117" s="3"/>
      <c r="M117" s="4"/>
      <c r="N117" s="226" t="s">
        <v>78</v>
      </c>
      <c r="P117" s="237" t="str">
        <f>IFERROR(__xludf.DUMMYFUNCTION("IF($C$3=""Load"",(REGEXREPLACE(QUERY(IMPORTHTML(""https://finviz.com/quote.ashx?t=""&amp;$C$4,""table"",""9""),""select Col10 where Col9 = 'Avg Volume' ""),""\D+"","""")/REGEXREPLACE(QUERY(IMPORTHTML(""https://finviz.com/quote.ashx?t=""&amp;$C$4,""table"",""9""),"&amp;"""select Col10 where Col9 = 'Shs Float' ""),""\D+"","""")),N116)"),"#REF!")</f>
        <v>#REF!</v>
      </c>
      <c r="Q117" s="238"/>
      <c r="R117" s="239"/>
      <c r="S117" s="238"/>
      <c r="T117" s="240"/>
      <c r="U117" s="5"/>
      <c r="V117" s="6"/>
      <c r="W117" s="6"/>
      <c r="X117" s="6"/>
      <c r="Y117" s="6"/>
      <c r="Z117" s="6"/>
      <c r="AA117" s="6"/>
      <c r="AB117" s="5"/>
      <c r="AC117" s="174"/>
      <c r="AD117" s="175"/>
    </row>
    <row r="118">
      <c r="A118" s="1"/>
      <c r="B118" s="1"/>
      <c r="C118" s="225" t="s">
        <v>90</v>
      </c>
      <c r="D118" s="3"/>
      <c r="E118" s="3"/>
      <c r="F118" s="3"/>
      <c r="G118" s="3"/>
      <c r="H118" s="3"/>
      <c r="I118" s="3"/>
      <c r="J118" s="3"/>
      <c r="K118" s="3"/>
      <c r="L118" s="3"/>
      <c r="M118" s="4"/>
      <c r="N118" s="226" t="s">
        <v>78</v>
      </c>
      <c r="P118" s="241" t="s">
        <v>91</v>
      </c>
      <c r="Q118" s="3"/>
      <c r="R118" s="3"/>
      <c r="S118" s="3"/>
      <c r="T118" s="4"/>
      <c r="U118" s="5"/>
      <c r="V118" s="6"/>
      <c r="W118" s="6"/>
      <c r="X118" s="6"/>
      <c r="Y118" s="6"/>
      <c r="Z118" s="6"/>
      <c r="AA118" s="6"/>
      <c r="AB118" s="5"/>
      <c r="AC118" s="174"/>
      <c r="AD118" s="175"/>
    </row>
    <row r="119">
      <c r="A119" s="1"/>
      <c r="B119" s="1"/>
      <c r="C119" s="231" t="s">
        <v>92</v>
      </c>
      <c r="D119" s="3"/>
      <c r="E119" s="3"/>
      <c r="F119" s="3"/>
      <c r="G119" s="3"/>
      <c r="H119" s="3"/>
      <c r="I119" s="3"/>
      <c r="J119" s="3"/>
      <c r="K119" s="3"/>
      <c r="L119" s="3"/>
      <c r="M119" s="4"/>
      <c r="N119" s="226" t="s">
        <v>78</v>
      </c>
      <c r="P119" s="242" t="s">
        <v>43</v>
      </c>
      <c r="Q119" s="243" t="str">
        <f>iferror(Q53/F53,"")</f>
        <v/>
      </c>
      <c r="R119" s="244" t="s">
        <v>93</v>
      </c>
      <c r="S119" s="75"/>
      <c r="T119" s="245" t="str">
        <f>IFERROR(__xludf.DUMMYFUNCTION("IF($C$3=""Load"",iferror(value(REGEXREPLACE(QUERY(IMPORTHTML(""https://finviz.com/quote.ashx?t=""&amp;$C$5,""table"",""9""),""select Col8 where Col7 = 'Insider Own' ""),""\*"",""""))),T119)"),"")</f>
        <v/>
      </c>
      <c r="U119" s="5"/>
      <c r="V119" s="6"/>
      <c r="W119" s="6"/>
      <c r="X119" s="6"/>
      <c r="Y119" s="6"/>
      <c r="Z119" s="6"/>
      <c r="AA119" s="6"/>
      <c r="AB119" s="5"/>
      <c r="AC119" s="174"/>
      <c r="AD119" s="175"/>
    </row>
    <row r="120">
      <c r="A120" s="1"/>
      <c r="B120" s="1"/>
      <c r="C120" s="231" t="s">
        <v>94</v>
      </c>
      <c r="D120" s="3"/>
      <c r="E120" s="3"/>
      <c r="F120" s="3"/>
      <c r="G120" s="3"/>
      <c r="H120" s="3"/>
      <c r="I120" s="3"/>
      <c r="J120" s="3"/>
      <c r="K120" s="3"/>
      <c r="L120" s="3"/>
      <c r="M120" s="4"/>
      <c r="N120" s="226" t="s">
        <v>78</v>
      </c>
      <c r="P120" s="246" t="s">
        <v>95</v>
      </c>
      <c r="Q120" s="247" t="str">
        <f>iferror(P53/X53,"")</f>
        <v/>
      </c>
      <c r="R120" s="248" t="s">
        <v>96</v>
      </c>
      <c r="T120" s="249" t="str">
        <f>IFERROR(__xludf.DUMMYFUNCTION("IF($C$3=""Load"",iferror(value(REGEXREPLACE(QUERY(IMPORTHTML(""https://finviz.com/quote.ashx?t=""&amp;$C$5,""table"",""9""),""select Col8 where Col7 = 'Insider Trans' ""),""\*"","""")),""-""),T120)"),"-")</f>
        <v>-</v>
      </c>
      <c r="U120" s="5"/>
      <c r="V120" s="6"/>
      <c r="W120" s="6"/>
      <c r="X120" s="6"/>
      <c r="Y120" s="6"/>
      <c r="Z120" s="6"/>
      <c r="AA120" s="6"/>
      <c r="AB120" s="5"/>
      <c r="AC120" s="174"/>
      <c r="AD120" s="175"/>
    </row>
    <row r="121">
      <c r="A121" s="1"/>
      <c r="B121" s="1"/>
      <c r="C121" s="231" t="s">
        <v>97</v>
      </c>
      <c r="D121" s="3"/>
      <c r="E121" s="3"/>
      <c r="F121" s="3"/>
      <c r="G121" s="3"/>
      <c r="H121" s="3"/>
      <c r="I121" s="3"/>
      <c r="J121" s="3"/>
      <c r="K121" s="3"/>
      <c r="L121" s="3"/>
      <c r="M121" s="4"/>
      <c r="N121" s="226" t="s">
        <v>78</v>
      </c>
      <c r="P121" s="246" t="s">
        <v>98</v>
      </c>
      <c r="Q121" s="247" t="str">
        <f>iferror(P53/T53,"")</f>
        <v/>
      </c>
      <c r="R121" s="248" t="s">
        <v>99</v>
      </c>
      <c r="T121" s="250" t="str">
        <f>IFERROR(__xludf.DUMMYFUNCTION("IF($C$3=""Load"",iferror(value(REGEXREPLACE(QUERY(IMPORTHTML(""https://finviz.com/quote.ashx?t=""&amp;$C$5,""table"",""9""),""select Col8 where Col7 = 'Inst Own' ""),""\*"",""""))),T121)"),"")</f>
        <v/>
      </c>
      <c r="U121" s="5"/>
      <c r="V121" s="6"/>
      <c r="W121" s="6"/>
      <c r="X121" s="6"/>
      <c r="Y121" s="6"/>
      <c r="Z121" s="6"/>
      <c r="AA121" s="6"/>
      <c r="AB121" s="5"/>
      <c r="AC121" s="174"/>
      <c r="AD121" s="175"/>
    </row>
    <row r="122">
      <c r="A122" s="1"/>
      <c r="B122" s="1"/>
      <c r="C122" s="225" t="s">
        <v>100</v>
      </c>
      <c r="D122" s="3"/>
      <c r="E122" s="3"/>
      <c r="F122" s="3"/>
      <c r="G122" s="3"/>
      <c r="H122" s="3"/>
      <c r="I122" s="3"/>
      <c r="J122" s="3"/>
      <c r="K122" s="3"/>
      <c r="L122" s="3"/>
      <c r="M122" s="4"/>
      <c r="N122" s="226" t="s">
        <v>78</v>
      </c>
      <c r="P122" s="246" t="s">
        <v>101</v>
      </c>
      <c r="Q122" s="247" t="str">
        <f>iferror(P53/(H53-J53),"")</f>
        <v/>
      </c>
      <c r="R122" s="251" t="s">
        <v>102</v>
      </c>
      <c r="T122" s="252" t="str">
        <f>IFERROR(__xludf.DUMMYFUNCTION("IF($C$3=""Load"",iferror(REGEXREPLACE(QUERY(IMPORTHTML(""https://finviz.com/quote.ashx?t=""&amp;$C$5,""table"",""9""),""select Col10 where Col9 = 'Short Float' ""),""\*"","""")),T122)"),"")</f>
        <v/>
      </c>
      <c r="U122" s="5"/>
      <c r="V122" s="6"/>
      <c r="W122" s="6"/>
      <c r="X122" s="6"/>
      <c r="Y122" s="6"/>
      <c r="Z122" s="6"/>
      <c r="AA122" s="6"/>
      <c r="AB122" s="5"/>
      <c r="AC122" s="174"/>
      <c r="AD122" s="175"/>
    </row>
    <row r="123">
      <c r="A123" s="1"/>
      <c r="B123" s="1"/>
      <c r="C123" s="225" t="s">
        <v>103</v>
      </c>
      <c r="D123" s="3"/>
      <c r="E123" s="3"/>
      <c r="F123" s="3"/>
      <c r="G123" s="3"/>
      <c r="H123" s="3"/>
      <c r="I123" s="3"/>
      <c r="J123" s="3"/>
      <c r="K123" s="3"/>
      <c r="L123" s="3"/>
      <c r="M123" s="4"/>
      <c r="N123" s="226" t="s">
        <v>78</v>
      </c>
      <c r="P123" s="246" t="s">
        <v>104</v>
      </c>
      <c r="Q123" s="247" t="str">
        <f>iferror(P53/K53,"")</f>
        <v/>
      </c>
      <c r="R123" s="251" t="s">
        <v>105</v>
      </c>
      <c r="T123" s="249" t="str">
        <f>iferror((if(P117&gt;1,P117/1000,P117)),"")</f>
        <v/>
      </c>
      <c r="U123" s="5"/>
      <c r="V123" s="6"/>
      <c r="W123" s="6"/>
      <c r="X123" s="6"/>
      <c r="Y123" s="6"/>
      <c r="Z123" s="6"/>
      <c r="AA123" s="6"/>
      <c r="AB123" s="5"/>
      <c r="AC123" s="174"/>
      <c r="AD123" s="175"/>
    </row>
    <row r="124">
      <c r="A124" s="1"/>
      <c r="B124" s="1"/>
      <c r="C124" s="231" t="s">
        <v>106</v>
      </c>
      <c r="D124" s="3"/>
      <c r="E124" s="3"/>
      <c r="F124" s="3"/>
      <c r="G124" s="3"/>
      <c r="H124" s="3"/>
      <c r="I124" s="3"/>
      <c r="J124" s="3"/>
      <c r="K124" s="3"/>
      <c r="L124" s="3"/>
      <c r="M124" s="4"/>
      <c r="N124" s="253" t="s">
        <v>78</v>
      </c>
      <c r="P124" s="254" t="s">
        <v>107</v>
      </c>
      <c r="Q124" s="255" t="str">
        <f>iferror(if(Q121&lt;0,"Neg Book",(F53/(T53+if(M53&lt;0,0,M53)))),"")</f>
        <v/>
      </c>
      <c r="R124" s="256" t="s">
        <v>108</v>
      </c>
      <c r="S124" s="86"/>
      <c r="T124" s="257">
        <f>IFERROR(__xludf.DUMMYFUNCTION("IF($C$3=""Update"",iferror((index(GOOGLEFINANCE(C5,""price"",today()-30),2,2)-index(GOOGLEFINANCE(C5,""price"",today()-365),2,2))/index(GOOGLEFINANCE(C5,""price"",today()-365),2,2)),T124)"),0.0)</f>
        <v>0</v>
      </c>
      <c r="U124" s="5"/>
      <c r="V124" s="6"/>
      <c r="W124" s="6"/>
      <c r="X124" s="6"/>
      <c r="Y124" s="6"/>
      <c r="Z124" s="6"/>
      <c r="AA124" s="6"/>
      <c r="AB124" s="5"/>
      <c r="AC124" s="174"/>
      <c r="AD124" s="175"/>
    </row>
    <row r="125" ht="26.25" customHeight="1">
      <c r="A125" s="1"/>
      <c r="B125" s="1"/>
      <c r="C125" s="258"/>
      <c r="D125" s="258"/>
      <c r="E125" s="258"/>
      <c r="F125" s="258"/>
      <c r="G125" s="258"/>
      <c r="H125" s="258"/>
      <c r="I125" s="258"/>
      <c r="M125" s="258"/>
      <c r="N125" s="258"/>
      <c r="O125" s="258"/>
      <c r="P125" s="258"/>
      <c r="Q125" s="258"/>
      <c r="R125" s="258"/>
      <c r="S125" s="258"/>
      <c r="T125" s="258"/>
      <c r="U125" s="5"/>
      <c r="V125" s="6"/>
      <c r="W125" s="6"/>
      <c r="X125" s="6"/>
      <c r="Y125" s="6"/>
      <c r="Z125" s="6"/>
      <c r="AA125" s="6"/>
      <c r="AB125" s="5"/>
      <c r="AC125" s="174"/>
      <c r="AD125" s="175"/>
    </row>
    <row r="126" ht="26.25" customHeight="1">
      <c r="A126" s="1"/>
      <c r="B126" s="1"/>
      <c r="C126" s="259"/>
      <c r="D126" s="259"/>
      <c r="E126" s="260" t="s">
        <v>109</v>
      </c>
      <c r="F126" s="260" t="s">
        <v>110</v>
      </c>
      <c r="G126" s="260" t="s">
        <v>111</v>
      </c>
      <c r="H126" s="260" t="s">
        <v>112</v>
      </c>
      <c r="I126" s="260" t="s">
        <v>113</v>
      </c>
      <c r="J126" s="260" t="s">
        <v>114</v>
      </c>
      <c r="K126" s="260" t="s">
        <v>115</v>
      </c>
      <c r="L126" s="260" t="s">
        <v>116</v>
      </c>
      <c r="M126" s="258"/>
      <c r="N126" s="258"/>
      <c r="O126" s="258"/>
      <c r="P126" s="258"/>
      <c r="Q126" s="258"/>
      <c r="R126" s="258"/>
      <c r="S126" s="258"/>
      <c r="T126" s="258"/>
      <c r="U126" s="5"/>
      <c r="V126" s="6"/>
      <c r="W126" s="6"/>
      <c r="X126" s="6"/>
      <c r="Y126" s="6"/>
      <c r="Z126" s="6"/>
      <c r="AA126" s="6"/>
      <c r="AB126" s="5"/>
      <c r="AC126" s="174"/>
      <c r="AD126" s="175"/>
    </row>
    <row r="127" ht="26.25" customHeight="1">
      <c r="A127" s="1"/>
      <c r="B127" s="1"/>
      <c r="C127" s="259"/>
      <c r="D127" s="259"/>
      <c r="E127" s="260"/>
      <c r="F127" s="260"/>
      <c r="G127" s="260"/>
      <c r="H127" s="260"/>
      <c r="I127" s="260"/>
      <c r="J127" s="260"/>
      <c r="K127" s="260"/>
      <c r="L127" s="260"/>
      <c r="M127" s="258"/>
      <c r="N127" s="258"/>
      <c r="O127" s="258"/>
      <c r="P127" s="258"/>
      <c r="Q127" s="258"/>
      <c r="R127" s="258"/>
      <c r="S127" s="258"/>
      <c r="T127" s="258"/>
      <c r="U127" s="5"/>
      <c r="V127" s="6"/>
      <c r="W127" s="6"/>
      <c r="X127" s="6"/>
      <c r="Y127" s="6"/>
      <c r="Z127" s="6"/>
      <c r="AA127" s="6"/>
      <c r="AB127" s="5"/>
      <c r="AC127" s="174"/>
      <c r="AD127" s="175"/>
    </row>
    <row r="128" hidden="1">
      <c r="A128" s="1"/>
      <c r="B128" s="1"/>
      <c r="C128" s="258"/>
      <c r="D128" s="261"/>
      <c r="E128" s="261"/>
      <c r="F128" s="261"/>
      <c r="G128" s="261"/>
      <c r="H128" s="261"/>
      <c r="I128" s="261"/>
      <c r="J128" s="261"/>
      <c r="K128" s="261"/>
      <c r="M128" s="261"/>
      <c r="N128" s="261"/>
      <c r="O128" s="261"/>
      <c r="P128" s="261"/>
      <c r="Q128" s="261"/>
      <c r="R128" s="261"/>
      <c r="S128" s="261"/>
      <c r="T128" s="261"/>
      <c r="U128" s="5"/>
      <c r="V128" s="6"/>
      <c r="W128" s="6"/>
      <c r="X128" s="6"/>
      <c r="Y128" s="6"/>
      <c r="Z128" s="6"/>
      <c r="AA128" s="6"/>
      <c r="AB128" s="5"/>
      <c r="AC128" s="174"/>
      <c r="AD128" s="175"/>
    </row>
    <row r="129" hidden="1">
      <c r="A129" s="1"/>
      <c r="B129" s="1"/>
      <c r="C129" s="261"/>
      <c r="D129" s="261"/>
      <c r="E129" s="261"/>
      <c r="F129" s="261"/>
      <c r="G129" s="261"/>
      <c r="H129" s="261"/>
      <c r="I129" s="261"/>
      <c r="J129" s="261"/>
      <c r="K129" s="261"/>
      <c r="M129" s="261"/>
      <c r="N129" s="261"/>
      <c r="O129" s="261"/>
      <c r="P129" s="261"/>
      <c r="Q129" s="261"/>
      <c r="R129" s="261"/>
      <c r="S129" s="261"/>
      <c r="T129" s="261"/>
      <c r="U129" s="5"/>
      <c r="V129" s="5"/>
      <c r="W129" s="5"/>
      <c r="X129" s="6"/>
      <c r="Y129" s="6"/>
      <c r="Z129" s="6"/>
      <c r="AA129" s="6"/>
      <c r="AB129" s="5"/>
      <c r="AC129" s="174"/>
      <c r="AD129" s="175"/>
    </row>
    <row r="130" hidden="1">
      <c r="A130" s="1"/>
      <c r="B130" s="1"/>
      <c r="C130" s="261"/>
      <c r="D130" s="261"/>
      <c r="E130" s="261"/>
      <c r="F130" s="261"/>
      <c r="G130" s="261"/>
      <c r="H130" s="261"/>
      <c r="I130" s="261"/>
      <c r="J130" s="261"/>
      <c r="K130" s="261"/>
      <c r="M130" s="261"/>
      <c r="N130" s="261"/>
      <c r="O130" s="261"/>
      <c r="P130" s="261"/>
      <c r="Q130" s="261"/>
      <c r="R130" s="261"/>
      <c r="S130" s="261"/>
      <c r="T130" s="261"/>
      <c r="U130" s="5"/>
      <c r="V130" s="5"/>
      <c r="W130" s="5"/>
      <c r="X130" s="6"/>
      <c r="Y130" s="6"/>
      <c r="Z130" s="6"/>
      <c r="AA130" s="6"/>
      <c r="AB130" s="5"/>
      <c r="AC130" s="174"/>
      <c r="AD130" s="175"/>
    </row>
    <row r="131" hidden="1">
      <c r="A131" s="1"/>
      <c r="B131" s="1"/>
      <c r="C131" s="261"/>
      <c r="D131" s="261"/>
      <c r="E131" s="261"/>
      <c r="F131" s="261"/>
      <c r="G131" s="261"/>
      <c r="H131" s="261"/>
      <c r="I131" s="261"/>
      <c r="J131" s="261"/>
      <c r="K131" s="261"/>
      <c r="M131" s="261"/>
      <c r="N131" s="261"/>
      <c r="O131" s="261"/>
      <c r="P131" s="261"/>
      <c r="Q131" s="261"/>
      <c r="R131" s="261"/>
      <c r="S131" s="261"/>
      <c r="T131" s="261"/>
      <c r="U131" s="5"/>
      <c r="V131" s="5"/>
      <c r="W131" s="5"/>
      <c r="X131" s="6"/>
      <c r="Y131" s="6"/>
      <c r="Z131" s="6"/>
      <c r="AA131" s="6"/>
      <c r="AB131" s="5"/>
      <c r="AC131" s="174"/>
      <c r="AD131" s="175"/>
    </row>
    <row r="132" hidden="1">
      <c r="A132" s="1"/>
      <c r="B132" s="1"/>
      <c r="C132" s="261"/>
      <c r="D132" s="261"/>
      <c r="E132" s="261"/>
      <c r="F132" s="261"/>
      <c r="G132" s="261"/>
      <c r="H132" s="261"/>
      <c r="I132" s="261"/>
      <c r="J132" s="261"/>
      <c r="K132" s="261"/>
      <c r="M132" s="261"/>
      <c r="N132" s="261"/>
      <c r="O132" s="261"/>
      <c r="P132" s="261"/>
      <c r="Q132" s="261"/>
      <c r="R132" s="261"/>
      <c r="S132" s="261"/>
      <c r="T132" s="261"/>
      <c r="U132" s="5"/>
      <c r="V132" s="5"/>
      <c r="W132" s="5"/>
      <c r="X132" s="6"/>
      <c r="Y132" s="6"/>
      <c r="Z132" s="6"/>
      <c r="AA132" s="6"/>
      <c r="AB132" s="5"/>
      <c r="AC132" s="174"/>
      <c r="AD132" s="175"/>
    </row>
    <row r="133" hidden="1">
      <c r="A133" s="1"/>
      <c r="B133" s="1"/>
      <c r="C133" s="261"/>
      <c r="D133" s="261"/>
      <c r="E133" s="261"/>
      <c r="F133" s="261"/>
      <c r="G133" s="261"/>
      <c r="H133" s="261"/>
      <c r="I133" s="261"/>
      <c r="J133" s="261"/>
      <c r="K133" s="261"/>
      <c r="M133" s="261"/>
      <c r="N133" s="261"/>
      <c r="O133" s="261"/>
      <c r="P133" s="261"/>
      <c r="Q133" s="261"/>
      <c r="R133" s="261"/>
      <c r="S133" s="261"/>
      <c r="T133" s="261"/>
      <c r="U133" s="5"/>
      <c r="V133" s="5"/>
      <c r="W133" s="5"/>
      <c r="X133" s="6"/>
      <c r="Y133" s="6"/>
      <c r="Z133" s="6"/>
      <c r="AA133" s="6"/>
      <c r="AB133" s="5"/>
      <c r="AC133" s="174"/>
      <c r="AD133" s="175"/>
    </row>
    <row r="134" hidden="1">
      <c r="A134" s="1"/>
      <c r="B134" s="1"/>
      <c r="C134" s="261"/>
      <c r="D134" s="261"/>
      <c r="E134" s="261"/>
      <c r="F134" s="261"/>
      <c r="G134" s="261"/>
      <c r="H134" s="261"/>
      <c r="I134" s="261"/>
      <c r="J134" s="261"/>
      <c r="K134" s="261"/>
      <c r="M134" s="261"/>
      <c r="N134" s="261"/>
      <c r="O134" s="261"/>
      <c r="P134" s="261"/>
      <c r="Q134" s="261"/>
      <c r="R134" s="261"/>
      <c r="S134" s="261"/>
      <c r="T134" s="261"/>
      <c r="U134" s="5"/>
      <c r="V134" s="5"/>
      <c r="W134" s="5"/>
      <c r="X134" s="6"/>
      <c r="Y134" s="6"/>
      <c r="Z134" s="6"/>
      <c r="AA134" s="6"/>
      <c r="AB134" s="5"/>
      <c r="AC134" s="174"/>
      <c r="AD134" s="175"/>
    </row>
    <row r="135" hidden="1">
      <c r="A135" s="1"/>
      <c r="B135" s="1"/>
      <c r="C135" s="261"/>
      <c r="D135" s="261"/>
      <c r="E135" s="261"/>
      <c r="F135" s="261"/>
      <c r="G135" s="261"/>
      <c r="H135" s="261"/>
      <c r="I135" s="261"/>
      <c r="J135" s="261"/>
      <c r="K135" s="261"/>
      <c r="M135" s="261"/>
      <c r="N135" s="261"/>
      <c r="O135" s="261"/>
      <c r="P135" s="261"/>
      <c r="Q135" s="261"/>
      <c r="R135" s="261"/>
      <c r="S135" s="261"/>
      <c r="T135" s="261"/>
      <c r="U135" s="5"/>
      <c r="V135" s="5"/>
      <c r="W135" s="5"/>
      <c r="X135" s="6"/>
      <c r="Y135" s="6"/>
      <c r="Z135" s="6"/>
      <c r="AA135" s="6"/>
      <c r="AB135" s="5"/>
      <c r="AC135" s="174"/>
      <c r="AD135" s="175"/>
    </row>
    <row r="136" hidden="1">
      <c r="A136" s="1"/>
      <c r="B136" s="1"/>
      <c r="C136" s="261"/>
      <c r="D136" s="261"/>
      <c r="E136" s="261"/>
      <c r="F136" s="261"/>
      <c r="G136" s="261"/>
      <c r="H136" s="261"/>
      <c r="I136" s="261"/>
      <c r="J136" s="261"/>
      <c r="K136" s="261"/>
      <c r="M136" s="261"/>
      <c r="N136" s="261"/>
      <c r="O136" s="261"/>
      <c r="P136" s="261"/>
      <c r="Q136" s="261"/>
      <c r="R136" s="261"/>
      <c r="S136" s="261"/>
      <c r="T136" s="261"/>
      <c r="U136" s="5"/>
      <c r="V136" s="5"/>
      <c r="W136" s="5"/>
      <c r="X136" s="6"/>
      <c r="Y136" s="6"/>
      <c r="Z136" s="6"/>
      <c r="AA136" s="6"/>
      <c r="AB136" s="5"/>
      <c r="AC136" s="174"/>
      <c r="AD136" s="175"/>
    </row>
    <row r="137" hidden="1">
      <c r="A137" s="1"/>
      <c r="B137" s="1"/>
      <c r="C137" s="261"/>
      <c r="D137" s="261"/>
      <c r="E137" s="261"/>
      <c r="F137" s="261"/>
      <c r="G137" s="261"/>
      <c r="H137" s="261"/>
      <c r="I137" s="261"/>
      <c r="J137" s="261"/>
      <c r="K137" s="261"/>
      <c r="M137" s="261"/>
      <c r="N137" s="261"/>
      <c r="O137" s="261"/>
      <c r="P137" s="261"/>
      <c r="Q137" s="261"/>
      <c r="R137" s="261"/>
      <c r="S137" s="261"/>
      <c r="T137" s="261"/>
      <c r="U137" s="5"/>
      <c r="V137" s="5"/>
      <c r="W137" s="5"/>
      <c r="X137" s="6"/>
      <c r="Y137" s="6"/>
      <c r="Z137" s="6"/>
      <c r="AA137" s="6"/>
      <c r="AB137" s="5"/>
      <c r="AC137" s="174"/>
      <c r="AD137" s="175"/>
    </row>
    <row r="138" hidden="1">
      <c r="A138" s="1"/>
      <c r="B138" s="1"/>
      <c r="C138" s="261"/>
      <c r="D138" s="261"/>
      <c r="E138" s="261"/>
      <c r="F138" s="261"/>
      <c r="G138" s="261"/>
      <c r="H138" s="261"/>
      <c r="I138" s="261"/>
      <c r="J138" s="261"/>
      <c r="K138" s="261"/>
      <c r="M138" s="261"/>
      <c r="N138" s="261"/>
      <c r="O138" s="261"/>
      <c r="P138" s="261"/>
      <c r="Q138" s="261"/>
      <c r="R138" s="261"/>
      <c r="S138" s="261"/>
      <c r="T138" s="261"/>
      <c r="U138" s="5"/>
      <c r="V138" s="5"/>
      <c r="W138" s="5"/>
      <c r="X138" s="6"/>
      <c r="Y138" s="6"/>
      <c r="Z138" s="6"/>
      <c r="AA138" s="6"/>
      <c r="AB138" s="5"/>
      <c r="AC138" s="174"/>
      <c r="AD138" s="175"/>
    </row>
    <row r="139" hidden="1">
      <c r="A139" s="1"/>
      <c r="B139" s="1"/>
      <c r="C139" s="261"/>
      <c r="D139" s="261"/>
      <c r="E139" s="261"/>
      <c r="F139" s="261"/>
      <c r="G139" s="261"/>
      <c r="H139" s="261"/>
      <c r="I139" s="261"/>
      <c r="J139" s="261"/>
      <c r="K139" s="261"/>
      <c r="M139" s="261"/>
      <c r="N139" s="261"/>
      <c r="O139" s="261"/>
      <c r="P139" s="261"/>
      <c r="Q139" s="261"/>
      <c r="R139" s="261"/>
      <c r="S139" s="261"/>
      <c r="T139" s="261"/>
      <c r="U139" s="5"/>
      <c r="V139" s="5"/>
      <c r="W139" s="5"/>
      <c r="X139" s="6"/>
      <c r="Y139" s="6"/>
      <c r="Z139" s="6"/>
      <c r="AA139" s="6"/>
      <c r="AB139" s="5"/>
      <c r="AC139" s="174"/>
      <c r="AD139" s="175"/>
    </row>
    <row r="140" hidden="1">
      <c r="A140" s="1"/>
      <c r="B140" s="1"/>
      <c r="C140" s="261"/>
      <c r="D140" s="261"/>
      <c r="E140" s="261"/>
      <c r="F140" s="261"/>
      <c r="G140" s="261"/>
      <c r="H140" s="261"/>
      <c r="I140" s="261"/>
      <c r="J140" s="261"/>
      <c r="K140" s="261"/>
      <c r="M140" s="261"/>
      <c r="N140" s="261"/>
      <c r="O140" s="261"/>
      <c r="P140" s="261"/>
      <c r="Q140" s="261"/>
      <c r="R140" s="261"/>
      <c r="S140" s="261"/>
      <c r="T140" s="261"/>
      <c r="U140" s="5"/>
      <c r="V140" s="5"/>
      <c r="W140" s="5"/>
      <c r="X140" s="6"/>
      <c r="Y140" s="6"/>
      <c r="Z140" s="6"/>
      <c r="AA140" s="6"/>
      <c r="AB140" s="5"/>
      <c r="AC140" s="174"/>
      <c r="AD140" s="175"/>
    </row>
    <row r="141" hidden="1">
      <c r="A141" s="1"/>
      <c r="B141" s="1"/>
      <c r="C141" s="261"/>
      <c r="D141" s="261"/>
      <c r="E141" s="261"/>
      <c r="F141" s="261"/>
      <c r="G141" s="261"/>
      <c r="H141" s="261"/>
      <c r="I141" s="261"/>
      <c r="J141" s="261"/>
      <c r="K141" s="261"/>
      <c r="M141" s="261"/>
      <c r="N141" s="261"/>
      <c r="O141" s="261"/>
      <c r="P141" s="261"/>
      <c r="Q141" s="261"/>
      <c r="R141" s="261"/>
      <c r="S141" s="261"/>
      <c r="T141" s="261"/>
      <c r="U141" s="5"/>
      <c r="V141" s="5"/>
      <c r="W141" s="5"/>
      <c r="X141" s="6"/>
      <c r="Y141" s="6"/>
      <c r="Z141" s="6"/>
      <c r="AA141" s="6"/>
      <c r="AB141" s="5"/>
      <c r="AC141" s="174"/>
      <c r="AD141" s="175"/>
    </row>
    <row r="142" hidden="1">
      <c r="A142" s="1"/>
      <c r="B142" s="1"/>
      <c r="C142" s="261"/>
      <c r="D142" s="261"/>
      <c r="E142" s="261"/>
      <c r="F142" s="261"/>
      <c r="G142" s="261"/>
      <c r="H142" s="261"/>
      <c r="I142" s="261"/>
      <c r="J142" s="261"/>
      <c r="K142" s="261"/>
      <c r="M142" s="261"/>
      <c r="N142" s="261"/>
      <c r="O142" s="261"/>
      <c r="P142" s="261"/>
      <c r="Q142" s="261"/>
      <c r="R142" s="261"/>
      <c r="S142" s="261"/>
      <c r="T142" s="261"/>
      <c r="U142" s="5"/>
      <c r="V142" s="5"/>
      <c r="W142" s="5"/>
      <c r="X142" s="6"/>
      <c r="Y142" s="6"/>
      <c r="Z142" s="6"/>
      <c r="AA142" s="6"/>
      <c r="AB142" s="5"/>
      <c r="AC142" s="174"/>
      <c r="AD142" s="175"/>
    </row>
    <row r="143" hidden="1">
      <c r="A143" s="1"/>
      <c r="B143" s="1"/>
      <c r="C143" s="261"/>
      <c r="D143" s="261"/>
      <c r="E143" s="261"/>
      <c r="F143" s="261"/>
      <c r="G143" s="261"/>
      <c r="H143" s="261"/>
      <c r="I143" s="261"/>
      <c r="J143" s="261"/>
      <c r="K143" s="261"/>
      <c r="M143" s="261"/>
      <c r="N143" s="261"/>
      <c r="O143" s="261"/>
      <c r="P143" s="261"/>
      <c r="Q143" s="261"/>
      <c r="R143" s="261"/>
      <c r="S143" s="261"/>
      <c r="T143" s="261"/>
      <c r="U143" s="5"/>
      <c r="V143" s="5"/>
      <c r="W143" s="5"/>
      <c r="X143" s="6"/>
      <c r="Y143" s="6"/>
      <c r="Z143" s="6"/>
      <c r="AA143" s="6"/>
      <c r="AB143" s="5"/>
      <c r="AC143" s="174"/>
      <c r="AD143" s="175"/>
    </row>
    <row r="144" hidden="1">
      <c r="A144" s="1"/>
      <c r="B144" s="1"/>
      <c r="C144" s="261"/>
      <c r="D144" s="261"/>
      <c r="E144" s="261"/>
      <c r="F144" s="261"/>
      <c r="G144" s="261"/>
      <c r="H144" s="261"/>
      <c r="I144" s="261"/>
      <c r="J144" s="261"/>
      <c r="K144" s="261"/>
      <c r="M144" s="261"/>
      <c r="N144" s="261"/>
      <c r="O144" s="261"/>
      <c r="P144" s="261"/>
      <c r="Q144" s="261"/>
      <c r="R144" s="261"/>
      <c r="S144" s="261"/>
      <c r="T144" s="261"/>
      <c r="U144" s="5"/>
      <c r="V144" s="5"/>
      <c r="W144" s="5"/>
      <c r="X144" s="6"/>
      <c r="Y144" s="6"/>
      <c r="Z144" s="6"/>
      <c r="AA144" s="6"/>
      <c r="AB144" s="5"/>
      <c r="AC144" s="174"/>
      <c r="AD144" s="175"/>
    </row>
    <row r="145" hidden="1">
      <c r="A145" s="1"/>
      <c r="B145" s="1"/>
      <c r="C145" s="261"/>
      <c r="D145" s="261"/>
      <c r="E145" s="261"/>
      <c r="F145" s="261"/>
      <c r="G145" s="261"/>
      <c r="H145" s="261"/>
      <c r="I145" s="261"/>
      <c r="J145" s="261"/>
      <c r="K145" s="261"/>
      <c r="M145" s="261"/>
      <c r="N145" s="261"/>
      <c r="O145" s="261"/>
      <c r="P145" s="261"/>
      <c r="Q145" s="261"/>
      <c r="R145" s="261"/>
      <c r="S145" s="261"/>
      <c r="T145" s="261"/>
      <c r="U145" s="5"/>
      <c r="V145" s="5"/>
      <c r="W145" s="5"/>
      <c r="X145" s="6"/>
      <c r="Y145" s="6"/>
      <c r="Z145" s="6"/>
      <c r="AA145" s="6"/>
      <c r="AB145" s="5"/>
      <c r="AC145" s="174"/>
      <c r="AD145" s="175"/>
    </row>
    <row r="146" hidden="1">
      <c r="A146" s="1"/>
      <c r="B146" s="1"/>
      <c r="C146" s="261"/>
      <c r="D146" s="261"/>
      <c r="E146" s="261"/>
      <c r="F146" s="261"/>
      <c r="G146" s="261"/>
      <c r="H146" s="261"/>
      <c r="I146" s="261"/>
      <c r="J146" s="261"/>
      <c r="K146" s="261"/>
      <c r="M146" s="261"/>
      <c r="N146" s="261"/>
      <c r="O146" s="261"/>
      <c r="P146" s="261"/>
      <c r="Q146" s="261"/>
      <c r="R146" s="261"/>
      <c r="S146" s="261"/>
      <c r="T146" s="261"/>
      <c r="U146" s="5"/>
      <c r="V146" s="5"/>
      <c r="W146" s="5"/>
      <c r="X146" s="6"/>
      <c r="Y146" s="6"/>
      <c r="Z146" s="6"/>
      <c r="AA146" s="6"/>
      <c r="AB146" s="5"/>
      <c r="AC146" s="174"/>
      <c r="AD146" s="175"/>
    </row>
    <row r="147" hidden="1">
      <c r="A147" s="1"/>
      <c r="B147" s="1"/>
      <c r="C147" s="261"/>
      <c r="D147" s="261"/>
      <c r="E147" s="261"/>
      <c r="F147" s="261"/>
      <c r="G147" s="261"/>
      <c r="H147" s="261"/>
      <c r="I147" s="261"/>
      <c r="J147" s="261"/>
      <c r="K147" s="261"/>
      <c r="M147" s="261"/>
      <c r="N147" s="261"/>
      <c r="O147" s="261"/>
      <c r="P147" s="261"/>
      <c r="Q147" s="261"/>
      <c r="R147" s="261"/>
      <c r="S147" s="261"/>
      <c r="T147" s="261"/>
      <c r="U147" s="5"/>
      <c r="V147" s="5"/>
      <c r="W147" s="5"/>
      <c r="X147" s="6"/>
      <c r="Y147" s="6"/>
      <c r="Z147" s="6"/>
      <c r="AA147" s="6"/>
      <c r="AB147" s="5"/>
      <c r="AC147" s="174"/>
      <c r="AD147" s="175"/>
    </row>
    <row r="148" hidden="1">
      <c r="A148" s="1"/>
      <c r="B148" s="1"/>
      <c r="C148" s="261"/>
      <c r="D148" s="261"/>
      <c r="E148" s="261"/>
      <c r="F148" s="261"/>
      <c r="G148" s="261"/>
      <c r="H148" s="261"/>
      <c r="I148" s="261"/>
      <c r="J148" s="261"/>
      <c r="K148" s="261"/>
      <c r="M148" s="261"/>
      <c r="N148" s="261"/>
      <c r="O148" s="261"/>
      <c r="P148" s="261"/>
      <c r="Q148" s="261"/>
      <c r="R148" s="261"/>
      <c r="S148" s="261"/>
      <c r="T148" s="261"/>
      <c r="U148" s="5"/>
      <c r="V148" s="5"/>
      <c r="W148" s="5"/>
      <c r="X148" s="6"/>
      <c r="Y148" s="6"/>
      <c r="Z148" s="6"/>
      <c r="AA148" s="6"/>
      <c r="AB148" s="5"/>
      <c r="AC148" s="174"/>
      <c r="AD148" s="175"/>
    </row>
    <row r="149" hidden="1">
      <c r="A149" s="1"/>
      <c r="B149" s="1"/>
      <c r="C149" s="261"/>
      <c r="D149" s="261"/>
      <c r="E149" s="261"/>
      <c r="F149" s="261"/>
      <c r="G149" s="261"/>
      <c r="H149" s="261"/>
      <c r="I149" s="261"/>
      <c r="J149" s="261"/>
      <c r="K149" s="261"/>
      <c r="M149" s="261"/>
      <c r="N149" s="261"/>
      <c r="O149" s="261"/>
      <c r="P149" s="261"/>
      <c r="Q149" s="261"/>
      <c r="R149" s="261"/>
      <c r="S149" s="261"/>
      <c r="T149" s="261"/>
      <c r="U149" s="5"/>
      <c r="V149" s="5"/>
      <c r="W149" s="5"/>
      <c r="X149" s="6"/>
      <c r="Y149" s="6"/>
      <c r="Z149" s="6"/>
      <c r="AA149" s="6"/>
      <c r="AB149" s="5"/>
      <c r="AC149" s="174"/>
      <c r="AD149" s="175"/>
    </row>
    <row r="150" hidden="1">
      <c r="A150" s="1"/>
      <c r="B150" s="1"/>
      <c r="C150" s="261"/>
      <c r="D150" s="261"/>
      <c r="E150" s="261"/>
      <c r="F150" s="261"/>
      <c r="G150" s="261"/>
      <c r="H150" s="261"/>
      <c r="I150" s="261"/>
      <c r="J150" s="261"/>
      <c r="K150" s="261"/>
      <c r="M150" s="261"/>
      <c r="N150" s="261"/>
      <c r="O150" s="261"/>
      <c r="P150" s="261"/>
      <c r="Q150" s="261"/>
      <c r="R150" s="261"/>
      <c r="S150" s="261"/>
      <c r="T150" s="261"/>
      <c r="U150" s="5"/>
      <c r="V150" s="5"/>
      <c r="W150" s="5"/>
      <c r="X150" s="6"/>
      <c r="Y150" s="6"/>
      <c r="Z150" s="6"/>
      <c r="AA150" s="6"/>
      <c r="AB150" s="5"/>
      <c r="AC150" s="174"/>
      <c r="AD150" s="175"/>
    </row>
    <row r="151" hidden="1">
      <c r="A151" s="1"/>
      <c r="B151" s="1"/>
      <c r="C151" s="261"/>
      <c r="D151" s="261"/>
      <c r="E151" s="261"/>
      <c r="F151" s="261"/>
      <c r="G151" s="261"/>
      <c r="H151" s="261"/>
      <c r="I151" s="261"/>
      <c r="J151" s="261"/>
      <c r="K151" s="261"/>
      <c r="M151" s="261"/>
      <c r="N151" s="261"/>
      <c r="O151" s="261"/>
      <c r="P151" s="261"/>
      <c r="Q151" s="261"/>
      <c r="R151" s="261"/>
      <c r="S151" s="261"/>
      <c r="T151" s="261"/>
      <c r="U151" s="5"/>
      <c r="V151" s="5"/>
      <c r="W151" s="5"/>
      <c r="X151" s="6"/>
      <c r="Y151" s="6"/>
      <c r="Z151" s="6"/>
      <c r="AA151" s="6"/>
      <c r="AB151" s="5"/>
      <c r="AC151" s="174"/>
      <c r="AD151" s="175"/>
    </row>
    <row r="152" hidden="1">
      <c r="A152" s="1"/>
      <c r="B152" s="1"/>
      <c r="C152" s="261"/>
      <c r="D152" s="261"/>
      <c r="E152" s="261"/>
      <c r="F152" s="261"/>
      <c r="G152" s="261"/>
      <c r="H152" s="261"/>
      <c r="I152" s="261"/>
      <c r="J152" s="261"/>
      <c r="K152" s="261"/>
      <c r="L152" s="1"/>
      <c r="M152" s="261"/>
      <c r="N152" s="261"/>
      <c r="O152" s="261"/>
      <c r="P152" s="261"/>
      <c r="Q152" s="261"/>
      <c r="R152" s="261"/>
      <c r="S152" s="261"/>
      <c r="T152" s="261"/>
      <c r="U152" s="5"/>
      <c r="V152" s="6"/>
      <c r="W152" s="6"/>
      <c r="X152" s="6"/>
      <c r="Y152" s="6"/>
      <c r="Z152" s="6"/>
      <c r="AA152" s="6"/>
      <c r="AB152" s="5"/>
      <c r="AC152" s="174"/>
      <c r="AD152" s="175"/>
    </row>
    <row r="153" hidden="1">
      <c r="A153" s="1"/>
      <c r="B153" s="1"/>
      <c r="C153" s="261"/>
      <c r="D153" s="261"/>
      <c r="E153" s="261"/>
      <c r="F153" s="261"/>
      <c r="G153" s="261"/>
      <c r="H153" s="261"/>
      <c r="I153" s="261"/>
      <c r="J153" s="261"/>
      <c r="K153" s="261"/>
      <c r="L153" s="1"/>
      <c r="M153" s="261"/>
      <c r="N153" s="261"/>
      <c r="O153" s="261"/>
      <c r="P153" s="261"/>
      <c r="Q153" s="261"/>
      <c r="R153" s="261"/>
      <c r="S153" s="261"/>
      <c r="T153" s="261"/>
      <c r="U153" s="5"/>
      <c r="V153" s="6"/>
      <c r="W153" s="6"/>
      <c r="X153" s="6"/>
      <c r="Y153" s="6"/>
      <c r="Z153" s="6"/>
      <c r="AA153" s="6"/>
      <c r="AB153" s="5"/>
      <c r="AC153" s="174"/>
      <c r="AD153" s="175"/>
    </row>
    <row r="154" hidden="1">
      <c r="A154" s="1"/>
      <c r="B154" s="1"/>
      <c r="C154" s="261"/>
      <c r="D154" s="261"/>
      <c r="E154" s="261"/>
      <c r="F154" s="261"/>
      <c r="G154" s="261"/>
      <c r="H154" s="261"/>
      <c r="I154" s="261"/>
      <c r="J154" s="261"/>
      <c r="K154" s="261"/>
      <c r="L154" s="1"/>
      <c r="M154" s="261"/>
      <c r="N154" s="261"/>
      <c r="O154" s="261"/>
      <c r="P154" s="261"/>
      <c r="Q154" s="261"/>
      <c r="R154" s="261"/>
      <c r="S154" s="261"/>
      <c r="T154" s="261"/>
      <c r="U154" s="5"/>
      <c r="V154" s="6"/>
      <c r="W154" s="6"/>
      <c r="X154" s="6"/>
      <c r="Y154" s="6"/>
      <c r="Z154" s="6"/>
      <c r="AA154" s="6"/>
      <c r="AB154" s="5"/>
      <c r="AC154" s="174"/>
      <c r="AD154" s="175"/>
    </row>
    <row r="155" hidden="1">
      <c r="A155" s="1"/>
      <c r="B155" s="1"/>
      <c r="C155" s="261"/>
      <c r="D155" s="261"/>
      <c r="E155" s="261"/>
      <c r="F155" s="261"/>
      <c r="G155" s="261"/>
      <c r="H155" s="261"/>
      <c r="I155" s="261"/>
      <c r="J155" s="261"/>
      <c r="K155" s="261"/>
      <c r="L155" s="1"/>
      <c r="M155" s="261"/>
      <c r="N155" s="261"/>
      <c r="O155" s="261"/>
      <c r="P155" s="261"/>
      <c r="Q155" s="261"/>
      <c r="R155" s="261"/>
      <c r="S155" s="261"/>
      <c r="T155" s="261"/>
      <c r="U155" s="5"/>
      <c r="V155" s="6"/>
      <c r="W155" s="6"/>
      <c r="X155" s="6"/>
      <c r="Y155" s="6"/>
      <c r="Z155" s="6"/>
      <c r="AA155" s="6"/>
      <c r="AB155" s="5"/>
      <c r="AC155" s="174"/>
      <c r="AD155" s="175"/>
    </row>
    <row r="156" hidden="1">
      <c r="A156" s="1"/>
      <c r="B156" s="1"/>
      <c r="C156" s="1"/>
      <c r="D156" s="1"/>
      <c r="E156" s="1"/>
      <c r="F156" s="1"/>
      <c r="G156" s="1"/>
      <c r="H156" s="1"/>
      <c r="I156" s="1"/>
      <c r="J156" s="1"/>
      <c r="K156" s="1"/>
      <c r="L156" s="1"/>
      <c r="M156" s="1"/>
      <c r="N156" s="1"/>
      <c r="O156" s="1"/>
      <c r="P156" s="1"/>
      <c r="Q156" s="1"/>
      <c r="R156" s="1"/>
      <c r="S156" s="1"/>
      <c r="T156" s="1"/>
      <c r="U156" s="5"/>
      <c r="V156" s="6"/>
      <c r="W156" s="6"/>
      <c r="X156" s="6"/>
      <c r="Y156" s="6"/>
      <c r="Z156" s="6"/>
      <c r="AA156" s="6"/>
      <c r="AB156" s="5"/>
      <c r="AC156" s="174"/>
      <c r="AD156" s="175"/>
    </row>
    <row r="157" hidden="1">
      <c r="A157" s="1"/>
      <c r="B157" s="1"/>
      <c r="C157" s="1"/>
      <c r="D157" s="1"/>
      <c r="E157" s="1"/>
      <c r="F157" s="1"/>
      <c r="G157" s="1"/>
      <c r="H157" s="1"/>
      <c r="I157" s="1"/>
      <c r="J157" s="1"/>
      <c r="K157" s="1"/>
      <c r="L157" s="1"/>
      <c r="M157" s="1"/>
      <c r="N157" s="1"/>
      <c r="O157" s="1"/>
      <c r="P157" s="1"/>
      <c r="Q157" s="1"/>
      <c r="R157" s="1"/>
      <c r="S157" s="1"/>
      <c r="T157" s="1"/>
      <c r="U157" s="5"/>
      <c r="V157" s="6"/>
      <c r="W157" s="6"/>
      <c r="X157" s="6"/>
      <c r="Y157" s="6"/>
      <c r="Z157" s="6"/>
      <c r="AA157" s="6"/>
      <c r="AB157" s="5"/>
      <c r="AC157" s="174"/>
      <c r="AD157" s="175"/>
    </row>
    <row r="158" hidden="1">
      <c r="A158" s="1"/>
      <c r="B158" s="1"/>
      <c r="C158" s="1"/>
      <c r="D158" s="1"/>
      <c r="E158" s="1"/>
      <c r="F158" s="1"/>
      <c r="G158" s="1"/>
      <c r="H158" s="1"/>
      <c r="I158" s="1"/>
      <c r="J158" s="1"/>
      <c r="K158" s="1"/>
      <c r="L158" s="1"/>
      <c r="M158" s="1"/>
      <c r="N158" s="1"/>
      <c r="O158" s="1"/>
      <c r="P158" s="1"/>
      <c r="Q158" s="1"/>
      <c r="R158" s="1"/>
      <c r="S158" s="1"/>
      <c r="T158" s="1"/>
      <c r="U158" s="5"/>
      <c r="V158" s="6"/>
      <c r="W158" s="6"/>
      <c r="X158" s="6"/>
      <c r="Y158" s="6"/>
      <c r="Z158" s="6"/>
      <c r="AA158" s="6"/>
      <c r="AB158" s="5"/>
      <c r="AC158" s="174"/>
      <c r="AD158" s="175"/>
    </row>
    <row r="159" hidden="1">
      <c r="A159" s="1"/>
      <c r="B159" s="1"/>
      <c r="C159" s="1"/>
      <c r="D159" s="1"/>
      <c r="E159" s="1"/>
      <c r="F159" s="1"/>
      <c r="G159" s="157"/>
      <c r="H159" s="157"/>
      <c r="I159" s="157"/>
      <c r="J159" s="157"/>
      <c r="K159" s="157"/>
      <c r="L159" s="1"/>
      <c r="M159" s="1"/>
      <c r="N159" s="1"/>
      <c r="O159" s="1"/>
      <c r="P159" s="1"/>
      <c r="Q159" s="1"/>
      <c r="R159" s="1"/>
      <c r="S159" s="1"/>
      <c r="T159" s="1"/>
      <c r="U159" s="5"/>
      <c r="V159" s="6"/>
      <c r="W159" s="6"/>
      <c r="X159" s="6"/>
      <c r="Y159" s="6"/>
      <c r="Z159" s="6"/>
      <c r="AA159" s="6"/>
      <c r="AB159" s="5"/>
      <c r="AC159" s="174"/>
      <c r="AD159" s="175"/>
    </row>
    <row r="160" hidden="1">
      <c r="A160" s="1"/>
      <c r="B160" s="1"/>
      <c r="C160" s="1"/>
      <c r="D160" s="1"/>
      <c r="E160" s="1"/>
      <c r="F160" s="1"/>
      <c r="G160" s="157"/>
      <c r="H160" s="157"/>
      <c r="I160" s="157"/>
      <c r="J160" s="157"/>
      <c r="K160" s="157"/>
      <c r="L160" s="1"/>
      <c r="M160" s="1"/>
      <c r="N160" s="1"/>
      <c r="O160" s="1"/>
      <c r="P160" s="1"/>
      <c r="Q160" s="1"/>
      <c r="R160" s="1"/>
      <c r="S160" s="1"/>
      <c r="T160" s="1"/>
      <c r="U160" s="5"/>
      <c r="V160" s="6"/>
      <c r="W160" s="6"/>
      <c r="X160" s="6"/>
      <c r="Y160" s="6"/>
      <c r="Z160" s="6"/>
      <c r="AA160" s="6"/>
      <c r="AB160" s="5"/>
      <c r="AC160" s="174"/>
      <c r="AD160" s="175"/>
    </row>
    <row r="161" hidden="1">
      <c r="A161" s="1"/>
      <c r="B161" s="1"/>
      <c r="C161" s="1"/>
      <c r="D161" s="1"/>
      <c r="E161" s="1"/>
      <c r="F161" s="1"/>
      <c r="G161" s="157"/>
      <c r="H161" s="157"/>
      <c r="I161" s="157"/>
      <c r="J161" s="157"/>
      <c r="K161" s="157"/>
      <c r="L161" s="1"/>
      <c r="M161" s="1"/>
      <c r="N161" s="1"/>
      <c r="O161" s="1"/>
      <c r="P161" s="1"/>
      <c r="Q161" s="1"/>
      <c r="R161" s="1"/>
      <c r="S161" s="1"/>
      <c r="T161" s="1"/>
      <c r="U161" s="5"/>
      <c r="V161" s="6"/>
      <c r="W161" s="6"/>
      <c r="X161" s="6"/>
      <c r="Y161" s="6"/>
      <c r="Z161" s="6"/>
      <c r="AA161" s="6"/>
      <c r="AB161" s="5"/>
      <c r="AC161" s="174"/>
      <c r="AD161" s="175"/>
    </row>
    <row r="162" hidden="1">
      <c r="A162" s="1"/>
      <c r="B162" s="1"/>
      <c r="C162" s="1"/>
      <c r="D162" s="1"/>
      <c r="E162" s="1"/>
      <c r="F162" s="1"/>
      <c r="G162" s="157"/>
      <c r="H162" s="157"/>
      <c r="I162" s="157"/>
      <c r="J162" s="157"/>
      <c r="K162" s="157"/>
      <c r="L162" s="1"/>
      <c r="M162" s="1"/>
      <c r="N162" s="1"/>
      <c r="O162" s="1"/>
      <c r="P162" s="1"/>
      <c r="Q162" s="1"/>
      <c r="R162" s="1"/>
      <c r="S162" s="1"/>
      <c r="T162" s="1"/>
      <c r="U162" s="5"/>
      <c r="V162" s="6"/>
      <c r="W162" s="6"/>
      <c r="X162" s="6"/>
      <c r="Y162" s="6"/>
      <c r="Z162" s="6"/>
      <c r="AA162" s="6"/>
      <c r="AB162" s="5"/>
      <c r="AC162" s="174"/>
      <c r="AD162" s="175"/>
    </row>
    <row r="163" hidden="1">
      <c r="A163" s="1"/>
      <c r="B163" s="1"/>
      <c r="C163" s="1"/>
      <c r="D163" s="1"/>
      <c r="E163" s="1"/>
      <c r="F163" s="1"/>
      <c r="G163" s="157"/>
      <c r="H163" s="157"/>
      <c r="I163" s="157"/>
      <c r="J163" s="157"/>
      <c r="K163" s="157"/>
      <c r="L163" s="1"/>
      <c r="M163" s="1"/>
      <c r="N163" s="1"/>
      <c r="O163" s="1"/>
      <c r="P163" s="1"/>
      <c r="Q163" s="1"/>
      <c r="R163" s="1"/>
      <c r="S163" s="1"/>
      <c r="T163" s="1"/>
      <c r="U163" s="5"/>
      <c r="V163" s="6"/>
      <c r="W163" s="6"/>
      <c r="X163" s="6"/>
      <c r="Y163" s="6"/>
      <c r="Z163" s="6"/>
      <c r="AA163" s="6"/>
      <c r="AB163" s="5"/>
      <c r="AC163" s="174"/>
      <c r="AD163" s="175"/>
    </row>
    <row r="164" hidden="1">
      <c r="A164" s="1"/>
      <c r="B164" s="1"/>
      <c r="C164" s="1"/>
      <c r="D164" s="1"/>
      <c r="E164" s="1"/>
      <c r="F164" s="1"/>
      <c r="G164" s="157"/>
      <c r="H164" s="157"/>
      <c r="I164" s="157"/>
      <c r="J164" s="157"/>
      <c r="K164" s="157"/>
      <c r="L164" s="1"/>
      <c r="M164" s="1"/>
      <c r="N164" s="1"/>
      <c r="O164" s="1"/>
      <c r="P164" s="1"/>
      <c r="Q164" s="1"/>
      <c r="R164" s="1"/>
      <c r="S164" s="1"/>
      <c r="T164" s="1"/>
      <c r="U164" s="5"/>
      <c r="V164" s="6"/>
      <c r="W164" s="6"/>
      <c r="X164" s="6"/>
      <c r="Y164" s="6"/>
      <c r="Z164" s="6"/>
      <c r="AA164" s="6"/>
      <c r="AB164" s="5"/>
      <c r="AC164" s="174"/>
      <c r="AD164" s="175"/>
    </row>
    <row r="165" hidden="1">
      <c r="A165" s="1"/>
      <c r="B165" s="1"/>
      <c r="C165" s="1"/>
      <c r="D165" s="1"/>
      <c r="E165" s="1"/>
      <c r="F165" s="1"/>
      <c r="G165" s="157"/>
      <c r="H165" s="157"/>
      <c r="I165" s="157"/>
      <c r="J165" s="157"/>
      <c r="K165" s="157"/>
      <c r="L165" s="1"/>
      <c r="M165" s="1"/>
      <c r="N165" s="1"/>
      <c r="O165" s="1"/>
      <c r="P165" s="1"/>
      <c r="Q165" s="1"/>
      <c r="R165" s="1"/>
      <c r="S165" s="1"/>
      <c r="T165" s="1"/>
      <c r="U165" s="5"/>
      <c r="V165" s="6"/>
      <c r="W165" s="6"/>
      <c r="X165" s="6"/>
      <c r="Y165" s="6"/>
      <c r="Z165" s="6"/>
      <c r="AA165" s="6"/>
      <c r="AB165" s="5"/>
      <c r="AC165" s="174"/>
      <c r="AD165" s="175"/>
    </row>
    <row r="166" hidden="1">
      <c r="A166" s="1"/>
      <c r="B166" s="1"/>
      <c r="C166" s="1"/>
      <c r="D166" s="1"/>
      <c r="E166" s="1"/>
      <c r="F166" s="1"/>
      <c r="G166" s="1"/>
      <c r="H166" s="1"/>
      <c r="I166" s="1"/>
      <c r="J166" s="1"/>
      <c r="K166" s="1"/>
      <c r="L166" s="1"/>
      <c r="M166" s="1"/>
      <c r="N166" s="1"/>
      <c r="O166" s="1"/>
      <c r="P166" s="1"/>
      <c r="Q166" s="1"/>
      <c r="R166" s="1"/>
      <c r="S166" s="1"/>
      <c r="T166" s="1"/>
      <c r="U166" s="5"/>
      <c r="V166" s="6"/>
      <c r="W166" s="6"/>
      <c r="X166" s="6"/>
      <c r="Y166" s="6"/>
      <c r="Z166" s="6"/>
      <c r="AA166" s="6"/>
      <c r="AB166" s="5"/>
      <c r="AC166" s="174"/>
      <c r="AD166" s="175"/>
    </row>
    <row r="167" hidden="1">
      <c r="A167" s="1"/>
      <c r="B167" s="1"/>
      <c r="C167" s="1"/>
      <c r="D167" s="1"/>
      <c r="E167" s="1"/>
      <c r="F167" s="1"/>
      <c r="G167" s="1"/>
      <c r="H167" s="1"/>
      <c r="I167" s="1"/>
      <c r="J167" s="1"/>
      <c r="K167" s="1"/>
      <c r="L167" s="1"/>
      <c r="M167" s="1"/>
      <c r="N167" s="1"/>
      <c r="O167" s="1"/>
      <c r="P167" s="1"/>
      <c r="Q167" s="1"/>
      <c r="R167" s="1"/>
      <c r="S167" s="1"/>
      <c r="T167" s="1"/>
      <c r="U167" s="5"/>
      <c r="V167" s="6"/>
      <c r="W167" s="6"/>
      <c r="X167" s="6"/>
      <c r="Y167" s="6"/>
      <c r="Z167" s="6"/>
      <c r="AA167" s="6"/>
      <c r="AB167" s="5"/>
      <c r="AC167" s="174"/>
      <c r="AD167" s="175"/>
    </row>
    <row r="168" hidden="1">
      <c r="A168" s="1"/>
      <c r="B168" s="1"/>
      <c r="C168" s="1"/>
      <c r="D168" s="1"/>
      <c r="E168" s="1"/>
      <c r="F168" s="1"/>
      <c r="G168" s="1"/>
      <c r="H168" s="1"/>
      <c r="I168" s="1"/>
      <c r="J168" s="1"/>
      <c r="K168" s="1"/>
      <c r="L168" s="1"/>
      <c r="M168" s="1"/>
      <c r="N168" s="1"/>
      <c r="O168" s="1"/>
      <c r="P168" s="1"/>
      <c r="Q168" s="1"/>
      <c r="R168" s="1"/>
      <c r="S168" s="1"/>
      <c r="T168" s="1"/>
      <c r="U168" s="5"/>
      <c r="V168" s="6"/>
      <c r="W168" s="6"/>
      <c r="X168" s="6"/>
      <c r="Y168" s="6"/>
      <c r="Z168" s="6"/>
      <c r="AA168" s="6"/>
      <c r="AB168" s="5"/>
      <c r="AC168" s="174"/>
      <c r="AD168" s="175"/>
    </row>
    <row r="169" hidden="1">
      <c r="A169" s="1"/>
      <c r="B169" s="1"/>
      <c r="C169" s="1"/>
      <c r="D169" s="1"/>
      <c r="E169" s="1"/>
      <c r="F169" s="1"/>
      <c r="G169" s="1"/>
      <c r="H169" s="1"/>
      <c r="I169" s="1"/>
      <c r="J169" s="1"/>
      <c r="K169" s="1"/>
      <c r="L169" s="1"/>
      <c r="M169" s="1"/>
      <c r="N169" s="1"/>
      <c r="O169" s="1"/>
      <c r="P169" s="1"/>
      <c r="Q169" s="1"/>
      <c r="R169" s="1"/>
      <c r="S169" s="1"/>
      <c r="T169" s="1"/>
      <c r="U169" s="5"/>
      <c r="V169" s="6"/>
      <c r="W169" s="6"/>
      <c r="X169" s="6"/>
      <c r="Y169" s="6"/>
      <c r="Z169" s="6"/>
      <c r="AA169" s="6"/>
      <c r="AB169" s="5"/>
      <c r="AC169" s="174"/>
      <c r="AD169" s="175"/>
    </row>
    <row r="170" hidden="1">
      <c r="A170" s="1"/>
      <c r="B170" s="1"/>
      <c r="C170" s="1"/>
      <c r="D170" s="8"/>
      <c r="E170" s="1"/>
      <c r="F170" s="1"/>
      <c r="G170" s="1"/>
      <c r="H170" s="1"/>
      <c r="I170" s="1"/>
      <c r="J170" s="1"/>
      <c r="K170" s="1"/>
      <c r="L170" s="1"/>
      <c r="M170" s="1"/>
      <c r="N170" s="1"/>
      <c r="O170" s="1"/>
      <c r="P170" s="1"/>
      <c r="Q170" s="1"/>
      <c r="R170" s="1"/>
      <c r="S170" s="1"/>
      <c r="T170" s="1"/>
      <c r="U170" s="5"/>
      <c r="V170" s="6"/>
      <c r="W170" s="6"/>
      <c r="X170" s="6"/>
      <c r="Y170" s="6"/>
      <c r="Z170" s="6"/>
      <c r="AA170" s="6"/>
      <c r="AB170" s="5"/>
      <c r="AC170" s="174"/>
      <c r="AD170" s="175"/>
    </row>
    <row r="171" hidden="1">
      <c r="A171" s="1"/>
      <c r="B171" s="1"/>
      <c r="C171" s="1"/>
      <c r="D171" s="8"/>
      <c r="E171" s="1"/>
      <c r="F171" s="1"/>
      <c r="G171" s="1"/>
      <c r="H171" s="1"/>
      <c r="I171" s="1"/>
      <c r="J171" s="1"/>
      <c r="K171" s="1"/>
      <c r="L171" s="1"/>
      <c r="M171" s="1"/>
      <c r="N171" s="1"/>
      <c r="O171" s="1"/>
      <c r="P171" s="1"/>
      <c r="Q171" s="1"/>
      <c r="R171" s="1"/>
      <c r="S171" s="1"/>
      <c r="T171" s="1"/>
      <c r="U171" s="5"/>
      <c r="V171" s="6"/>
      <c r="W171" s="6"/>
      <c r="X171" s="6"/>
      <c r="Y171" s="6"/>
      <c r="Z171" s="6"/>
      <c r="AA171" s="6"/>
      <c r="AB171" s="5"/>
      <c r="AC171" s="174"/>
      <c r="AD171" s="175"/>
    </row>
    <row r="172" hidden="1">
      <c r="A172" s="1"/>
      <c r="B172" s="1"/>
      <c r="C172" s="1"/>
      <c r="D172" s="8"/>
      <c r="E172" s="1"/>
      <c r="F172" s="1"/>
      <c r="G172" s="1"/>
      <c r="H172" s="1"/>
      <c r="I172" s="1"/>
      <c r="J172" s="1"/>
      <c r="K172" s="1"/>
      <c r="L172" s="1"/>
      <c r="M172" s="1"/>
      <c r="N172" s="1"/>
      <c r="O172" s="1"/>
      <c r="P172" s="1"/>
      <c r="Q172" s="1"/>
      <c r="R172" s="1"/>
      <c r="S172" s="1"/>
      <c r="T172" s="1"/>
      <c r="U172" s="5"/>
      <c r="V172" s="6"/>
      <c r="W172" s="6"/>
      <c r="X172" s="6"/>
      <c r="Y172" s="6"/>
      <c r="Z172" s="6"/>
      <c r="AA172" s="6"/>
      <c r="AB172" s="5"/>
      <c r="AC172" s="174"/>
      <c r="AD172" s="175"/>
    </row>
    <row r="173" hidden="1">
      <c r="A173" s="1"/>
      <c r="B173" s="1"/>
      <c r="C173" s="1"/>
      <c r="D173" s="8"/>
      <c r="E173" s="1"/>
      <c r="F173" s="1"/>
      <c r="G173" s="1"/>
      <c r="H173" s="1"/>
      <c r="I173" s="1"/>
      <c r="J173" s="1"/>
      <c r="K173" s="1"/>
      <c r="L173" s="1"/>
      <c r="M173" s="1"/>
      <c r="N173" s="1"/>
      <c r="O173" s="1"/>
      <c r="P173" s="1"/>
      <c r="Q173" s="1"/>
      <c r="R173" s="1"/>
      <c r="S173" s="1"/>
      <c r="T173" s="1"/>
      <c r="U173" s="5"/>
      <c r="V173" s="6"/>
      <c r="W173" s="6"/>
      <c r="X173" s="6"/>
      <c r="Y173" s="6"/>
      <c r="Z173" s="6"/>
      <c r="AA173" s="6"/>
      <c r="AB173" s="5"/>
      <c r="AC173" s="174"/>
      <c r="AD173" s="175"/>
    </row>
    <row r="174" hidden="1">
      <c r="A174" s="1"/>
      <c r="B174" s="1"/>
      <c r="C174" s="1"/>
      <c r="D174" s="8"/>
      <c r="E174" s="1"/>
      <c r="F174" s="1"/>
      <c r="G174" s="1"/>
      <c r="H174" s="1"/>
      <c r="I174" s="1"/>
      <c r="J174" s="1"/>
      <c r="K174" s="1"/>
      <c r="L174" s="1"/>
      <c r="M174" s="1"/>
      <c r="N174" s="1"/>
      <c r="O174" s="1"/>
      <c r="P174" s="1"/>
      <c r="Q174" s="1"/>
      <c r="R174" s="1"/>
      <c r="S174" s="1"/>
      <c r="T174" s="1"/>
      <c r="U174" s="5"/>
      <c r="V174" s="6"/>
      <c r="W174" s="6"/>
      <c r="X174" s="6"/>
      <c r="Y174" s="6"/>
      <c r="Z174" s="6"/>
      <c r="AA174" s="6"/>
      <c r="AB174" s="5"/>
      <c r="AC174" s="174"/>
      <c r="AD174" s="175"/>
    </row>
    <row r="175" hidden="1">
      <c r="A175" s="1"/>
      <c r="B175" s="1"/>
      <c r="C175" s="1"/>
      <c r="D175" s="1"/>
      <c r="E175" s="1"/>
      <c r="F175" s="1"/>
      <c r="G175" s="1"/>
      <c r="H175" s="1"/>
      <c r="I175" s="1"/>
      <c r="J175" s="1"/>
      <c r="K175" s="1"/>
      <c r="L175" s="1"/>
      <c r="M175" s="1"/>
      <c r="N175" s="1"/>
      <c r="O175" s="1"/>
      <c r="P175" s="1"/>
      <c r="Q175" s="1"/>
      <c r="R175" s="1"/>
      <c r="S175" s="1"/>
      <c r="T175" s="1"/>
      <c r="U175" s="5"/>
      <c r="V175" s="6"/>
      <c r="W175" s="6"/>
      <c r="X175" s="6"/>
      <c r="Y175" s="6"/>
      <c r="Z175" s="6"/>
      <c r="AA175" s="6"/>
      <c r="AB175" s="5"/>
      <c r="AC175" s="174"/>
      <c r="AD175" s="175"/>
    </row>
    <row r="176" hidden="1">
      <c r="A176" s="1"/>
      <c r="B176" s="1"/>
      <c r="C176" s="1"/>
      <c r="D176" s="1"/>
      <c r="E176" s="1"/>
      <c r="F176" s="1"/>
      <c r="G176" s="1"/>
      <c r="H176" s="1"/>
      <c r="I176" s="1"/>
      <c r="J176" s="1"/>
      <c r="K176" s="1"/>
      <c r="L176" s="1"/>
      <c r="M176" s="1"/>
      <c r="N176" s="1"/>
      <c r="O176" s="1"/>
      <c r="P176" s="1"/>
      <c r="Q176" s="1"/>
      <c r="R176" s="1"/>
      <c r="S176" s="1"/>
      <c r="T176" s="1"/>
      <c r="U176" s="5"/>
      <c r="V176" s="6"/>
      <c r="W176" s="6"/>
      <c r="X176" s="6"/>
      <c r="Y176" s="6"/>
      <c r="Z176" s="6"/>
      <c r="AA176" s="6"/>
      <c r="AB176" s="5"/>
      <c r="AC176" s="174"/>
      <c r="AD176" s="175"/>
    </row>
    <row r="177" hidden="1">
      <c r="A177" s="1"/>
      <c r="B177" s="1"/>
      <c r="C177" s="1"/>
      <c r="D177" s="1"/>
      <c r="E177" s="1"/>
      <c r="F177" s="1"/>
      <c r="G177" s="1"/>
      <c r="H177" s="1"/>
      <c r="I177" s="1"/>
      <c r="J177" s="1"/>
      <c r="K177" s="1"/>
      <c r="L177" s="1"/>
      <c r="M177" s="1"/>
      <c r="N177" s="1"/>
      <c r="O177" s="1"/>
      <c r="P177" s="1"/>
      <c r="Q177" s="1"/>
      <c r="R177" s="1"/>
      <c r="S177" s="1"/>
      <c r="T177" s="1"/>
      <c r="U177" s="5"/>
      <c r="V177" s="6"/>
      <c r="W177" s="6"/>
      <c r="X177" s="6"/>
      <c r="Y177" s="6"/>
      <c r="Z177" s="6"/>
      <c r="AA177" s="6"/>
      <c r="AB177" s="5"/>
      <c r="AC177" s="174"/>
      <c r="AD177" s="175"/>
    </row>
    <row r="178" hidden="1">
      <c r="A178" s="1"/>
      <c r="B178" s="1"/>
      <c r="C178" s="1"/>
      <c r="D178" s="1"/>
      <c r="E178" s="1"/>
      <c r="F178" s="1"/>
      <c r="G178" s="1"/>
      <c r="H178" s="1"/>
      <c r="I178" s="1"/>
      <c r="J178" s="1"/>
      <c r="K178" s="1"/>
      <c r="L178" s="1"/>
      <c r="M178" s="1"/>
      <c r="N178" s="1"/>
      <c r="O178" s="1"/>
      <c r="P178" s="1"/>
      <c r="Q178" s="1"/>
      <c r="R178" s="1"/>
      <c r="S178" s="1"/>
      <c r="T178" s="1"/>
      <c r="U178" s="5"/>
      <c r="V178" s="6"/>
      <c r="W178" s="6"/>
      <c r="X178" s="6"/>
      <c r="Y178" s="6"/>
      <c r="Z178" s="6"/>
      <c r="AA178" s="6"/>
      <c r="AB178" s="5"/>
      <c r="AC178" s="174"/>
      <c r="AD178" s="175"/>
    </row>
    <row r="179" hidden="1">
      <c r="A179" s="1"/>
      <c r="B179" s="1"/>
      <c r="C179" s="1"/>
      <c r="D179" s="1"/>
      <c r="E179" s="1"/>
      <c r="F179" s="1"/>
      <c r="G179" s="1"/>
      <c r="H179" s="1"/>
      <c r="I179" s="1"/>
      <c r="J179" s="1"/>
      <c r="K179" s="1"/>
      <c r="L179" s="1"/>
      <c r="M179" s="1"/>
      <c r="N179" s="1"/>
      <c r="O179" s="1"/>
      <c r="P179" s="1"/>
      <c r="Q179" s="1"/>
      <c r="R179" s="1"/>
      <c r="S179" s="1"/>
      <c r="T179" s="1"/>
      <c r="U179" s="5"/>
      <c r="V179" s="6"/>
      <c r="W179" s="6"/>
      <c r="X179" s="6"/>
      <c r="Y179" s="6"/>
      <c r="Z179" s="6"/>
      <c r="AA179" s="6"/>
      <c r="AB179" s="5"/>
      <c r="AC179" s="174"/>
      <c r="AD179" s="175"/>
    </row>
    <row r="180" hidden="1">
      <c r="A180" s="1"/>
      <c r="B180" s="1"/>
      <c r="C180" s="1"/>
      <c r="D180" s="1"/>
      <c r="E180" s="1"/>
      <c r="F180" s="1"/>
      <c r="G180" s="1"/>
      <c r="H180" s="1"/>
      <c r="I180" s="1"/>
      <c r="J180" s="1"/>
      <c r="K180" s="1"/>
      <c r="L180" s="1"/>
      <c r="M180" s="1"/>
      <c r="N180" s="1"/>
      <c r="O180" s="1"/>
      <c r="P180" s="1"/>
      <c r="Q180" s="1"/>
      <c r="R180" s="1"/>
      <c r="S180" s="1"/>
      <c r="T180" s="1"/>
      <c r="U180" s="5"/>
      <c r="V180" s="6"/>
      <c r="W180" s="6"/>
      <c r="X180" s="6"/>
      <c r="Y180" s="6"/>
      <c r="Z180" s="6"/>
      <c r="AA180" s="6"/>
      <c r="AB180" s="5"/>
      <c r="AC180" s="174"/>
      <c r="AD180" s="175"/>
    </row>
    <row r="181" hidden="1">
      <c r="A181" s="1"/>
      <c r="B181" s="1"/>
      <c r="C181" s="1"/>
      <c r="D181" s="1"/>
      <c r="E181" s="1"/>
      <c r="F181" s="1"/>
      <c r="G181" s="1"/>
      <c r="H181" s="1"/>
      <c r="I181" s="1"/>
      <c r="J181" s="1"/>
      <c r="K181" s="1"/>
      <c r="L181" s="1"/>
      <c r="M181" s="1"/>
      <c r="N181" s="1"/>
      <c r="O181" s="1"/>
      <c r="P181" s="1"/>
      <c r="Q181" s="1"/>
      <c r="R181" s="1"/>
      <c r="S181" s="1"/>
      <c r="T181" s="1"/>
      <c r="U181" s="5"/>
      <c r="V181" s="6"/>
      <c r="W181" s="6"/>
      <c r="X181" s="6"/>
      <c r="Y181" s="6"/>
      <c r="Z181" s="6"/>
      <c r="AA181" s="6"/>
      <c r="AB181" s="5"/>
      <c r="AC181" s="174"/>
      <c r="AD181" s="175"/>
    </row>
    <row r="182" hidden="1">
      <c r="A182" s="1"/>
      <c r="B182" s="1"/>
      <c r="C182" s="1"/>
      <c r="D182" s="1"/>
      <c r="E182" s="1"/>
      <c r="F182" s="1"/>
      <c r="G182" s="1"/>
      <c r="H182" s="1"/>
      <c r="I182" s="1"/>
      <c r="J182" s="1"/>
      <c r="K182" s="1"/>
      <c r="L182" s="1"/>
      <c r="M182" s="1"/>
      <c r="N182" s="1"/>
      <c r="O182" s="1"/>
      <c r="P182" s="1"/>
      <c r="Q182" s="1"/>
      <c r="R182" s="1"/>
      <c r="S182" s="1"/>
      <c r="T182" s="1"/>
      <c r="U182" s="5"/>
      <c r="V182" s="6"/>
      <c r="W182" s="6"/>
      <c r="X182" s="6"/>
      <c r="Y182" s="6"/>
      <c r="Z182" s="6"/>
      <c r="AA182" s="6"/>
      <c r="AB182" s="5"/>
      <c r="AC182" s="174"/>
      <c r="AD182" s="175"/>
    </row>
    <row r="183" hidden="1">
      <c r="A183" s="1"/>
      <c r="B183" s="1"/>
      <c r="C183" s="1"/>
      <c r="D183" s="1"/>
      <c r="E183" s="1"/>
      <c r="F183" s="1"/>
      <c r="G183" s="1"/>
      <c r="H183" s="1"/>
      <c r="I183" s="1"/>
      <c r="J183" s="1"/>
      <c r="K183" s="1"/>
      <c r="L183" s="1"/>
      <c r="M183" s="1"/>
      <c r="N183" s="1"/>
      <c r="O183" s="1"/>
      <c r="P183" s="1"/>
      <c r="Q183" s="1"/>
      <c r="R183" s="1"/>
      <c r="S183" s="1"/>
      <c r="T183" s="1"/>
      <c r="U183" s="5"/>
      <c r="V183" s="6"/>
      <c r="W183" s="6"/>
      <c r="X183" s="6"/>
      <c r="Y183" s="6"/>
      <c r="Z183" s="6"/>
      <c r="AA183" s="6"/>
      <c r="AB183" s="5"/>
      <c r="AC183" s="174"/>
      <c r="AD183" s="175"/>
    </row>
    <row r="184" hidden="1">
      <c r="A184" s="1"/>
      <c r="B184" s="1"/>
      <c r="C184" s="1"/>
      <c r="D184" s="1"/>
      <c r="E184" s="1"/>
      <c r="F184" s="1"/>
      <c r="G184" s="1"/>
      <c r="H184" s="1"/>
      <c r="I184" s="1"/>
      <c r="J184" s="1"/>
      <c r="K184" s="1"/>
      <c r="L184" s="1"/>
      <c r="M184" s="1"/>
      <c r="N184" s="1"/>
      <c r="O184" s="1"/>
      <c r="P184" s="1"/>
      <c r="Q184" s="1"/>
      <c r="R184" s="1"/>
      <c r="S184" s="1"/>
      <c r="T184" s="1"/>
      <c r="U184" s="5"/>
      <c r="V184" s="6"/>
      <c r="W184" s="6"/>
      <c r="X184" s="6"/>
      <c r="Y184" s="6"/>
      <c r="Z184" s="6"/>
      <c r="AA184" s="6"/>
      <c r="AB184" s="5"/>
      <c r="AC184" s="174"/>
      <c r="AD184" s="175"/>
    </row>
    <row r="185" hidden="1">
      <c r="A185" s="1"/>
      <c r="B185" s="1"/>
      <c r="C185" s="1"/>
      <c r="D185" s="1"/>
      <c r="E185" s="1"/>
      <c r="F185" s="1"/>
      <c r="G185" s="1"/>
      <c r="H185" s="1"/>
      <c r="I185" s="1"/>
      <c r="J185" s="1"/>
      <c r="K185" s="1"/>
      <c r="L185" s="1"/>
      <c r="M185" s="1"/>
      <c r="N185" s="1"/>
      <c r="O185" s="1"/>
      <c r="P185" s="1"/>
      <c r="Q185" s="1"/>
      <c r="R185" s="1"/>
      <c r="S185" s="1"/>
      <c r="T185" s="1"/>
      <c r="U185" s="5"/>
      <c r="V185" s="6"/>
      <c r="W185" s="6"/>
      <c r="X185" s="6"/>
      <c r="Y185" s="6"/>
      <c r="Z185" s="6"/>
      <c r="AA185" s="6"/>
      <c r="AB185" s="5"/>
      <c r="AC185" s="174"/>
      <c r="AD185" s="175"/>
    </row>
    <row r="186" hidden="1">
      <c r="A186" s="1"/>
      <c r="B186" s="1"/>
      <c r="C186" s="1"/>
      <c r="D186" s="1"/>
      <c r="E186" s="1"/>
      <c r="F186" s="1"/>
      <c r="G186" s="1"/>
      <c r="H186" s="1"/>
      <c r="I186" s="1"/>
      <c r="J186" s="1"/>
      <c r="K186" s="1"/>
      <c r="L186" s="1"/>
      <c r="M186" s="1"/>
      <c r="N186" s="1"/>
      <c r="O186" s="1"/>
      <c r="P186" s="1"/>
      <c r="Q186" s="1"/>
      <c r="R186" s="1"/>
      <c r="S186" s="1"/>
      <c r="T186" s="1"/>
      <c r="U186" s="5"/>
      <c r="V186" s="6"/>
      <c r="W186" s="6"/>
      <c r="X186" s="6"/>
      <c r="Y186" s="6"/>
      <c r="Z186" s="6"/>
      <c r="AA186" s="6"/>
      <c r="AB186" s="5"/>
      <c r="AC186" s="174"/>
      <c r="AD186" s="175"/>
    </row>
    <row r="187" hidden="1">
      <c r="A187" s="1"/>
      <c r="B187" s="1"/>
      <c r="C187" s="1"/>
      <c r="D187" s="1"/>
      <c r="E187" s="1"/>
      <c r="F187" s="1"/>
      <c r="G187" s="1"/>
      <c r="H187" s="1"/>
      <c r="I187" s="1"/>
      <c r="J187" s="1"/>
      <c r="K187" s="1"/>
      <c r="L187" s="1"/>
      <c r="M187" s="1"/>
      <c r="N187" s="1"/>
      <c r="O187" s="1"/>
      <c r="P187" s="1"/>
      <c r="Q187" s="1"/>
      <c r="R187" s="1"/>
      <c r="S187" s="1"/>
      <c r="T187" s="1"/>
      <c r="U187" s="5"/>
      <c r="V187" s="6"/>
      <c r="W187" s="6"/>
      <c r="X187" s="6"/>
      <c r="Y187" s="6"/>
      <c r="Z187" s="6"/>
      <c r="AA187" s="6"/>
      <c r="AB187" s="5"/>
      <c r="AC187" s="174"/>
      <c r="AD187" s="175"/>
    </row>
    <row r="188" hidden="1">
      <c r="A188" s="1"/>
      <c r="B188" s="1"/>
      <c r="C188" s="1"/>
      <c r="D188" s="1"/>
      <c r="E188" s="1"/>
      <c r="F188" s="1"/>
      <c r="G188" s="1"/>
      <c r="H188" s="1"/>
      <c r="I188" s="1"/>
      <c r="J188" s="1"/>
      <c r="K188" s="1"/>
      <c r="L188" s="1"/>
      <c r="M188" s="1"/>
      <c r="N188" s="1"/>
      <c r="O188" s="1"/>
      <c r="P188" s="1"/>
      <c r="Q188" s="1"/>
      <c r="R188" s="1"/>
      <c r="S188" s="1"/>
      <c r="T188" s="1"/>
      <c r="U188" s="5"/>
      <c r="V188" s="6"/>
      <c r="W188" s="6"/>
      <c r="X188" s="6"/>
      <c r="Y188" s="6"/>
      <c r="Z188" s="6"/>
      <c r="AA188" s="6"/>
      <c r="AB188" s="5"/>
      <c r="AC188" s="174"/>
      <c r="AD188" s="175"/>
    </row>
    <row r="189" hidden="1">
      <c r="A189" s="1"/>
      <c r="B189" s="1"/>
      <c r="C189" s="1"/>
      <c r="D189" s="1"/>
      <c r="E189" s="1"/>
      <c r="F189" s="1"/>
      <c r="G189" s="1"/>
      <c r="H189" s="1"/>
      <c r="I189" s="1"/>
      <c r="J189" s="1"/>
      <c r="K189" s="1"/>
      <c r="L189" s="1"/>
      <c r="M189" s="1"/>
      <c r="N189" s="1"/>
      <c r="O189" s="1"/>
      <c r="P189" s="1"/>
      <c r="Q189" s="1"/>
      <c r="R189" s="1"/>
      <c r="S189" s="1"/>
      <c r="T189" s="1"/>
      <c r="U189" s="5"/>
      <c r="V189" s="6"/>
      <c r="W189" s="6"/>
      <c r="X189" s="6"/>
      <c r="Y189" s="6"/>
      <c r="Z189" s="6"/>
      <c r="AA189" s="6"/>
      <c r="AB189" s="5"/>
      <c r="AC189" s="174"/>
      <c r="AD189" s="175"/>
    </row>
    <row r="190" hidden="1">
      <c r="A190" s="1"/>
      <c r="B190" s="1"/>
      <c r="C190" s="1"/>
      <c r="D190" s="1"/>
      <c r="E190" s="1"/>
      <c r="F190" s="1"/>
      <c r="G190" s="1"/>
      <c r="H190" s="1"/>
      <c r="I190" s="1"/>
      <c r="J190" s="1"/>
      <c r="K190" s="1"/>
      <c r="L190" s="1"/>
      <c r="M190" s="1"/>
      <c r="N190" s="1"/>
      <c r="O190" s="1"/>
      <c r="P190" s="1"/>
      <c r="Q190" s="1"/>
      <c r="R190" s="1"/>
      <c r="S190" s="1"/>
      <c r="T190" s="1"/>
      <c r="U190" s="5"/>
      <c r="V190" s="6"/>
      <c r="W190" s="6"/>
      <c r="X190" s="6"/>
      <c r="Y190" s="6"/>
      <c r="Z190" s="6"/>
      <c r="AA190" s="6"/>
      <c r="AB190" s="5"/>
      <c r="AC190" s="174"/>
      <c r="AD190" s="175"/>
    </row>
    <row r="191" hidden="1">
      <c r="A191" s="1"/>
      <c r="B191" s="1"/>
      <c r="C191" s="1"/>
      <c r="D191" s="1"/>
      <c r="E191" s="1"/>
      <c r="F191" s="1"/>
      <c r="G191" s="1"/>
      <c r="H191" s="1"/>
      <c r="I191" s="1"/>
      <c r="J191" s="1"/>
      <c r="K191" s="1"/>
      <c r="L191" s="1"/>
      <c r="M191" s="1"/>
      <c r="N191" s="1"/>
      <c r="O191" s="1"/>
      <c r="P191" s="1"/>
      <c r="Q191" s="1"/>
      <c r="R191" s="1"/>
      <c r="S191" s="1"/>
      <c r="T191" s="1"/>
      <c r="U191" s="5"/>
      <c r="V191" s="6"/>
      <c r="W191" s="6"/>
      <c r="X191" s="6"/>
      <c r="Y191" s="6"/>
      <c r="Z191" s="6"/>
      <c r="AA191" s="6"/>
      <c r="AB191" s="5"/>
      <c r="AC191" s="174"/>
      <c r="AD191" s="175"/>
    </row>
    <row r="192" hidden="1">
      <c r="A192" s="1"/>
      <c r="B192" s="1"/>
      <c r="C192" s="1"/>
      <c r="D192" s="1"/>
      <c r="E192" s="1"/>
      <c r="F192" s="1"/>
      <c r="G192" s="1"/>
      <c r="H192" s="1"/>
      <c r="I192" s="1"/>
      <c r="J192" s="1"/>
      <c r="K192" s="1"/>
      <c r="L192" s="1"/>
      <c r="M192" s="1"/>
      <c r="N192" s="1"/>
      <c r="O192" s="1"/>
      <c r="P192" s="1"/>
      <c r="Q192" s="1"/>
      <c r="R192" s="1"/>
      <c r="S192" s="1"/>
      <c r="T192" s="1"/>
      <c r="U192" s="5"/>
      <c r="V192" s="6"/>
      <c r="W192" s="6"/>
      <c r="X192" s="6"/>
      <c r="Y192" s="6"/>
      <c r="Z192" s="6"/>
      <c r="AA192" s="6"/>
      <c r="AB192" s="5"/>
      <c r="AC192" s="174"/>
      <c r="AD192" s="175"/>
    </row>
    <row r="193" hidden="1">
      <c r="A193" s="1"/>
      <c r="B193" s="1"/>
      <c r="C193" s="1"/>
      <c r="D193" s="1"/>
      <c r="E193" s="1"/>
      <c r="F193" s="1"/>
      <c r="G193" s="1"/>
      <c r="H193" s="1"/>
      <c r="I193" s="1"/>
      <c r="J193" s="1"/>
      <c r="K193" s="1"/>
      <c r="L193" s="1"/>
      <c r="M193" s="1"/>
      <c r="N193" s="1"/>
      <c r="O193" s="1"/>
      <c r="P193" s="1"/>
      <c r="Q193" s="1"/>
      <c r="R193" s="1"/>
      <c r="S193" s="1"/>
      <c r="T193" s="1"/>
      <c r="U193" s="5"/>
      <c r="V193" s="6"/>
      <c r="W193" s="6"/>
      <c r="X193" s="6"/>
      <c r="Y193" s="6"/>
      <c r="Z193" s="6"/>
      <c r="AA193" s="6"/>
      <c r="AB193" s="5"/>
      <c r="AC193" s="174"/>
      <c r="AD193" s="175"/>
    </row>
    <row r="194" hidden="1">
      <c r="A194" s="1"/>
      <c r="B194" s="1"/>
      <c r="C194" s="1"/>
      <c r="D194" s="1"/>
      <c r="E194" s="1"/>
      <c r="F194" s="1"/>
      <c r="G194" s="1"/>
      <c r="H194" s="1"/>
      <c r="I194" s="1"/>
      <c r="J194" s="1"/>
      <c r="K194" s="1"/>
      <c r="L194" s="1"/>
      <c r="M194" s="1"/>
      <c r="N194" s="1"/>
      <c r="O194" s="1"/>
      <c r="P194" s="1"/>
      <c r="Q194" s="1"/>
      <c r="R194" s="1"/>
      <c r="S194" s="1"/>
      <c r="T194" s="1"/>
      <c r="U194" s="5"/>
      <c r="V194" s="6"/>
      <c r="W194" s="6"/>
      <c r="X194" s="6"/>
      <c r="Y194" s="6"/>
      <c r="Z194" s="6"/>
      <c r="AA194" s="6"/>
      <c r="AB194" s="5"/>
      <c r="AC194" s="174"/>
      <c r="AD194" s="175"/>
    </row>
    <row r="195" hidden="1">
      <c r="A195" s="1"/>
      <c r="B195" s="1"/>
      <c r="C195" s="1"/>
      <c r="D195" s="1"/>
      <c r="E195" s="1"/>
      <c r="F195" s="1"/>
      <c r="G195" s="1"/>
      <c r="H195" s="1"/>
      <c r="I195" s="1"/>
      <c r="J195" s="1"/>
      <c r="K195" s="1"/>
      <c r="L195" s="1"/>
      <c r="M195" s="1"/>
      <c r="N195" s="1"/>
      <c r="O195" s="1"/>
      <c r="P195" s="1"/>
      <c r="Q195" s="1"/>
      <c r="R195" s="1"/>
      <c r="S195" s="1"/>
      <c r="T195" s="1"/>
      <c r="U195" s="5"/>
      <c r="V195" s="6"/>
      <c r="W195" s="6"/>
      <c r="X195" s="6"/>
      <c r="Y195" s="6"/>
      <c r="Z195" s="6"/>
      <c r="AA195" s="6"/>
      <c r="AB195" s="5"/>
      <c r="AC195" s="174"/>
      <c r="AD195" s="175"/>
    </row>
    <row r="196" hidden="1">
      <c r="A196" s="1"/>
      <c r="B196" s="1"/>
      <c r="C196" s="1"/>
      <c r="D196" s="1"/>
      <c r="E196" s="1"/>
      <c r="F196" s="1"/>
      <c r="G196" s="1"/>
      <c r="H196" s="1"/>
      <c r="I196" s="1"/>
      <c r="J196" s="1"/>
      <c r="K196" s="1"/>
      <c r="L196" s="1"/>
      <c r="M196" s="1"/>
      <c r="N196" s="1"/>
      <c r="O196" s="1"/>
      <c r="P196" s="1"/>
      <c r="Q196" s="1"/>
      <c r="R196" s="1"/>
      <c r="S196" s="1"/>
      <c r="T196" s="1"/>
      <c r="U196" s="5"/>
      <c r="V196" s="6"/>
      <c r="W196" s="6"/>
      <c r="X196" s="6"/>
      <c r="Y196" s="6"/>
      <c r="Z196" s="6"/>
      <c r="AA196" s="6"/>
      <c r="AB196" s="5"/>
      <c r="AC196" s="174"/>
      <c r="AD196" s="175"/>
    </row>
    <row r="197" hidden="1">
      <c r="A197" s="1"/>
      <c r="B197" s="1"/>
      <c r="C197" s="1"/>
      <c r="D197" s="1"/>
      <c r="E197" s="1"/>
      <c r="F197" s="1"/>
      <c r="G197" s="1"/>
      <c r="H197" s="1"/>
      <c r="I197" s="1"/>
      <c r="J197" s="1"/>
      <c r="K197" s="1"/>
      <c r="L197" s="1"/>
      <c r="M197" s="1"/>
      <c r="N197" s="1"/>
      <c r="O197" s="1"/>
      <c r="P197" s="1"/>
      <c r="Q197" s="1"/>
      <c r="R197" s="1"/>
      <c r="S197" s="1"/>
      <c r="T197" s="1"/>
      <c r="U197" s="5"/>
      <c r="V197" s="6"/>
      <c r="W197" s="6"/>
      <c r="X197" s="6"/>
      <c r="Y197" s="6"/>
      <c r="Z197" s="6"/>
      <c r="AA197" s="6"/>
      <c r="AB197" s="5"/>
      <c r="AC197" s="174"/>
      <c r="AD197" s="175"/>
    </row>
    <row r="198" hidden="1">
      <c r="A198" s="1"/>
      <c r="B198" s="1"/>
      <c r="C198" s="1"/>
      <c r="D198" s="1"/>
      <c r="E198" s="1"/>
      <c r="F198" s="1"/>
      <c r="G198" s="1"/>
      <c r="H198" s="1"/>
      <c r="I198" s="1"/>
      <c r="J198" s="1"/>
      <c r="K198" s="1"/>
      <c r="L198" s="1"/>
      <c r="M198" s="1"/>
      <c r="N198" s="1"/>
      <c r="O198" s="1"/>
      <c r="P198" s="1"/>
      <c r="Q198" s="1"/>
      <c r="R198" s="1"/>
      <c r="S198" s="1"/>
      <c r="T198" s="1"/>
      <c r="U198" s="5"/>
      <c r="V198" s="6"/>
      <c r="W198" s="6"/>
      <c r="X198" s="6"/>
      <c r="Y198" s="6"/>
      <c r="Z198" s="6"/>
      <c r="AA198" s="6"/>
      <c r="AB198" s="5"/>
      <c r="AC198" s="174"/>
      <c r="AD198" s="175"/>
    </row>
    <row r="199" hidden="1">
      <c r="A199" s="1"/>
      <c r="B199" s="1"/>
      <c r="C199" s="1"/>
      <c r="D199" s="1"/>
      <c r="E199" s="1"/>
      <c r="F199" s="1"/>
      <c r="G199" s="1"/>
      <c r="H199" s="1"/>
      <c r="I199" s="1"/>
      <c r="J199" s="1"/>
      <c r="K199" s="1"/>
      <c r="L199" s="1"/>
      <c r="M199" s="1"/>
      <c r="N199" s="1"/>
      <c r="O199" s="1"/>
      <c r="P199" s="1"/>
      <c r="Q199" s="1"/>
      <c r="R199" s="1"/>
      <c r="S199" s="1"/>
      <c r="T199" s="1"/>
      <c r="U199" s="5"/>
      <c r="V199" s="6"/>
      <c r="W199" s="6"/>
      <c r="X199" s="6"/>
      <c r="Y199" s="6"/>
      <c r="Z199" s="6"/>
      <c r="AA199" s="6"/>
      <c r="AB199" s="5"/>
      <c r="AC199" s="174"/>
      <c r="AD199" s="175"/>
    </row>
    <row r="200" hidden="1">
      <c r="A200" s="1"/>
      <c r="B200" s="1"/>
      <c r="C200" s="1"/>
      <c r="D200" s="1"/>
      <c r="E200" s="1"/>
      <c r="F200" s="1"/>
      <c r="G200" s="1"/>
      <c r="H200" s="1"/>
      <c r="I200" s="1"/>
      <c r="J200" s="1"/>
      <c r="K200" s="1"/>
      <c r="L200" s="1"/>
      <c r="M200" s="1"/>
      <c r="N200" s="1"/>
      <c r="O200" s="1"/>
      <c r="P200" s="1"/>
      <c r="Q200" s="1"/>
      <c r="R200" s="1"/>
      <c r="S200" s="1"/>
      <c r="T200" s="1"/>
      <c r="U200" s="5"/>
      <c r="V200" s="6"/>
      <c r="W200" s="6"/>
      <c r="X200" s="6"/>
      <c r="Y200" s="6"/>
      <c r="Z200" s="6"/>
      <c r="AA200" s="6"/>
      <c r="AB200" s="5"/>
      <c r="AC200" s="174"/>
      <c r="AD200" s="175"/>
    </row>
    <row r="201" hidden="1">
      <c r="A201" s="1"/>
      <c r="B201" s="1"/>
      <c r="C201" s="1"/>
      <c r="D201" s="1"/>
      <c r="E201" s="1"/>
      <c r="F201" s="1"/>
      <c r="G201" s="1"/>
      <c r="H201" s="1"/>
      <c r="I201" s="1"/>
      <c r="J201" s="1"/>
      <c r="K201" s="1"/>
      <c r="L201" s="1"/>
      <c r="M201" s="1"/>
      <c r="N201" s="1"/>
      <c r="O201" s="1"/>
      <c r="P201" s="1"/>
      <c r="Q201" s="1"/>
      <c r="R201" s="1"/>
      <c r="S201" s="1"/>
      <c r="T201" s="1"/>
      <c r="U201" s="5"/>
      <c r="V201" s="6"/>
      <c r="W201" s="6"/>
      <c r="X201" s="6"/>
      <c r="Y201" s="6"/>
      <c r="Z201" s="6"/>
      <c r="AA201" s="6"/>
      <c r="AB201" s="5"/>
      <c r="AC201" s="174"/>
      <c r="AD201" s="175"/>
    </row>
    <row r="202" hidden="1">
      <c r="A202" s="1"/>
      <c r="B202" s="1"/>
      <c r="C202" s="1"/>
      <c r="D202" s="1"/>
      <c r="E202" s="1"/>
      <c r="F202" s="1"/>
      <c r="G202" s="1"/>
      <c r="H202" s="1"/>
      <c r="I202" s="1"/>
      <c r="J202" s="1"/>
      <c r="K202" s="1"/>
      <c r="L202" s="1"/>
      <c r="M202" s="1"/>
      <c r="N202" s="1"/>
      <c r="O202" s="1"/>
      <c r="P202" s="1"/>
      <c r="Q202" s="1"/>
      <c r="R202" s="1"/>
      <c r="S202" s="1"/>
      <c r="T202" s="1"/>
      <c r="U202" s="5"/>
      <c r="V202" s="6"/>
      <c r="W202" s="6"/>
      <c r="X202" s="6"/>
      <c r="Y202" s="6"/>
      <c r="Z202" s="6"/>
      <c r="AA202" s="6"/>
      <c r="AB202" s="5"/>
      <c r="AC202" s="174"/>
      <c r="AD202" s="175"/>
    </row>
    <row r="203" hidden="1">
      <c r="A203" s="1"/>
      <c r="B203" s="1"/>
      <c r="C203" s="1"/>
      <c r="D203" s="1"/>
      <c r="E203" s="1"/>
      <c r="F203" s="1"/>
      <c r="G203" s="1"/>
      <c r="H203" s="1"/>
      <c r="I203" s="1"/>
      <c r="J203" s="1"/>
      <c r="K203" s="1"/>
      <c r="L203" s="1"/>
      <c r="M203" s="1"/>
      <c r="N203" s="1"/>
      <c r="O203" s="1"/>
      <c r="P203" s="1"/>
      <c r="Q203" s="1"/>
      <c r="R203" s="1"/>
      <c r="S203" s="1"/>
      <c r="T203" s="1"/>
      <c r="U203" s="5"/>
      <c r="V203" s="6"/>
      <c r="W203" s="6"/>
      <c r="X203" s="6"/>
      <c r="Y203" s="6"/>
      <c r="Z203" s="6"/>
      <c r="AA203" s="6"/>
      <c r="AB203" s="5"/>
      <c r="AC203" s="174"/>
      <c r="AD203" s="175"/>
    </row>
    <row r="204" hidden="1">
      <c r="A204" s="1"/>
      <c r="B204" s="1"/>
      <c r="C204" s="1"/>
      <c r="D204" s="1"/>
      <c r="E204" s="1"/>
      <c r="F204" s="1"/>
      <c r="G204" s="1"/>
      <c r="H204" s="1"/>
      <c r="I204" s="1"/>
      <c r="J204" s="1"/>
      <c r="K204" s="1"/>
      <c r="L204" s="1"/>
      <c r="M204" s="1"/>
      <c r="N204" s="1"/>
      <c r="O204" s="1"/>
      <c r="P204" s="1"/>
      <c r="Q204" s="1"/>
      <c r="R204" s="1"/>
      <c r="S204" s="1"/>
      <c r="T204" s="1"/>
      <c r="U204" s="5"/>
      <c r="V204" s="6"/>
      <c r="W204" s="6"/>
      <c r="X204" s="6"/>
      <c r="Y204" s="6"/>
      <c r="Z204" s="6"/>
      <c r="AA204" s="6"/>
      <c r="AB204" s="5"/>
      <c r="AC204" s="174"/>
      <c r="AD204" s="175"/>
    </row>
    <row r="205" hidden="1">
      <c r="A205" s="1"/>
      <c r="B205" s="1"/>
      <c r="C205" s="1"/>
      <c r="D205" s="1"/>
      <c r="E205" s="1"/>
      <c r="F205" s="1"/>
      <c r="G205" s="1"/>
      <c r="H205" s="1"/>
      <c r="I205" s="1"/>
      <c r="J205" s="1"/>
      <c r="K205" s="1"/>
      <c r="L205" s="1"/>
      <c r="M205" s="1"/>
      <c r="N205" s="1"/>
      <c r="O205" s="1"/>
      <c r="P205" s="1"/>
      <c r="Q205" s="1"/>
      <c r="R205" s="1"/>
      <c r="S205" s="1"/>
      <c r="T205" s="1"/>
      <c r="U205" s="5"/>
      <c r="V205" s="6"/>
      <c r="W205" s="6"/>
      <c r="X205" s="6"/>
      <c r="Y205" s="6"/>
      <c r="Z205" s="6"/>
      <c r="AA205" s="6"/>
      <c r="AB205" s="5"/>
      <c r="AC205" s="174"/>
      <c r="AD205" s="175"/>
    </row>
    <row r="206" hidden="1">
      <c r="A206" s="1"/>
      <c r="B206" s="1"/>
      <c r="C206" s="1"/>
      <c r="D206" s="1"/>
      <c r="E206" s="1"/>
      <c r="F206" s="1"/>
      <c r="G206" s="1"/>
      <c r="H206" s="1"/>
      <c r="I206" s="1"/>
      <c r="J206" s="1"/>
      <c r="K206" s="1"/>
      <c r="L206" s="1"/>
      <c r="M206" s="1"/>
      <c r="N206" s="1"/>
      <c r="O206" s="1"/>
      <c r="P206" s="1"/>
      <c r="Q206" s="1"/>
      <c r="R206" s="1"/>
      <c r="S206" s="1"/>
      <c r="T206" s="1"/>
      <c r="U206" s="5"/>
      <c r="V206" s="6"/>
      <c r="W206" s="6"/>
      <c r="X206" s="6"/>
      <c r="Y206" s="6"/>
      <c r="Z206" s="6"/>
      <c r="AA206" s="6"/>
      <c r="AB206" s="5"/>
      <c r="AC206" s="174"/>
      <c r="AD206" s="175"/>
    </row>
    <row r="207" hidden="1">
      <c r="A207" s="1"/>
      <c r="B207" s="1"/>
      <c r="C207" s="1"/>
      <c r="D207" s="1"/>
      <c r="E207" s="1"/>
      <c r="F207" s="1"/>
      <c r="G207" s="1"/>
      <c r="H207" s="1"/>
      <c r="I207" s="1"/>
      <c r="J207" s="1"/>
      <c r="K207" s="1"/>
      <c r="L207" s="1"/>
      <c r="M207" s="1"/>
      <c r="N207" s="1"/>
      <c r="O207" s="1"/>
      <c r="P207" s="1"/>
      <c r="Q207" s="1"/>
      <c r="R207" s="1"/>
      <c r="S207" s="1"/>
      <c r="T207" s="1"/>
      <c r="U207" s="5"/>
      <c r="V207" s="6"/>
      <c r="W207" s="6"/>
      <c r="X207" s="6"/>
      <c r="Y207" s="6"/>
      <c r="Z207" s="6"/>
      <c r="AA207" s="6"/>
      <c r="AB207" s="5"/>
      <c r="AC207" s="174"/>
      <c r="AD207" s="175"/>
    </row>
    <row r="208" hidden="1">
      <c r="A208" s="1"/>
      <c r="B208" s="1"/>
      <c r="C208" s="1"/>
      <c r="D208" s="1"/>
      <c r="E208" s="1"/>
      <c r="F208" s="1"/>
      <c r="G208" s="1"/>
      <c r="H208" s="1"/>
      <c r="I208" s="1"/>
      <c r="J208" s="1"/>
      <c r="K208" s="1"/>
      <c r="L208" s="1"/>
      <c r="M208" s="1"/>
      <c r="N208" s="1"/>
      <c r="O208" s="1"/>
      <c r="P208" s="1"/>
      <c r="Q208" s="1"/>
      <c r="R208" s="1"/>
      <c r="S208" s="1"/>
      <c r="T208" s="1"/>
      <c r="U208" s="5"/>
      <c r="V208" s="6"/>
      <c r="W208" s="6"/>
      <c r="X208" s="6"/>
      <c r="Y208" s="6"/>
      <c r="Z208" s="6"/>
      <c r="AA208" s="6"/>
      <c r="AB208" s="5"/>
      <c r="AC208" s="174"/>
      <c r="AD208" s="175"/>
    </row>
    <row r="209" hidden="1">
      <c r="A209" s="1"/>
      <c r="B209" s="1"/>
      <c r="C209" s="1"/>
      <c r="D209" s="1"/>
      <c r="E209" s="1"/>
      <c r="F209" s="1"/>
      <c r="G209" s="1"/>
      <c r="H209" s="1"/>
      <c r="I209" s="1"/>
      <c r="J209" s="1"/>
      <c r="K209" s="1"/>
      <c r="L209" s="1"/>
      <c r="M209" s="1"/>
      <c r="N209" s="1"/>
      <c r="O209" s="1"/>
      <c r="P209" s="1"/>
      <c r="Q209" s="1"/>
      <c r="R209" s="1"/>
      <c r="S209" s="1"/>
      <c r="T209" s="1"/>
      <c r="U209" s="5"/>
      <c r="V209" s="6"/>
      <c r="W209" s="6"/>
      <c r="X209" s="6"/>
      <c r="Y209" s="6"/>
      <c r="Z209" s="6"/>
      <c r="AA209" s="6"/>
      <c r="AB209" s="5"/>
      <c r="AC209" s="174"/>
      <c r="AD209" s="175"/>
    </row>
    <row r="210" hidden="1">
      <c r="A210" s="1"/>
      <c r="B210" s="1"/>
      <c r="C210" s="1"/>
      <c r="D210" s="1"/>
      <c r="E210" s="1"/>
      <c r="F210" s="1"/>
      <c r="G210" s="1"/>
      <c r="H210" s="1"/>
      <c r="I210" s="1"/>
      <c r="J210" s="1"/>
      <c r="K210" s="1"/>
      <c r="L210" s="1"/>
      <c r="M210" s="1"/>
      <c r="N210" s="1"/>
      <c r="O210" s="1"/>
      <c r="P210" s="1"/>
      <c r="Q210" s="1"/>
      <c r="R210" s="1"/>
      <c r="S210" s="1"/>
      <c r="T210" s="1"/>
      <c r="U210" s="5"/>
      <c r="V210" s="6"/>
      <c r="W210" s="6"/>
      <c r="X210" s="6"/>
      <c r="Y210" s="6"/>
      <c r="Z210" s="6"/>
      <c r="AA210" s="6"/>
      <c r="AB210" s="5"/>
      <c r="AC210" s="174"/>
      <c r="AD210" s="175"/>
    </row>
    <row r="211" hidden="1">
      <c r="A211" s="1"/>
      <c r="B211" s="1"/>
      <c r="C211" s="1"/>
      <c r="D211" s="1"/>
      <c r="E211" s="1"/>
      <c r="F211" s="1"/>
      <c r="G211" s="1"/>
      <c r="H211" s="1"/>
      <c r="I211" s="1"/>
      <c r="J211" s="1"/>
      <c r="K211" s="1"/>
      <c r="L211" s="1"/>
      <c r="M211" s="1"/>
      <c r="N211" s="1"/>
      <c r="O211" s="1"/>
      <c r="P211" s="1"/>
      <c r="Q211" s="1"/>
      <c r="R211" s="1"/>
      <c r="S211" s="1"/>
      <c r="T211" s="1"/>
      <c r="U211" s="5"/>
      <c r="V211" s="6"/>
      <c r="W211" s="6"/>
      <c r="X211" s="6"/>
      <c r="Y211" s="6"/>
      <c r="Z211" s="6"/>
      <c r="AA211" s="6"/>
      <c r="AB211" s="5"/>
      <c r="AC211" s="174"/>
      <c r="AD211" s="175"/>
    </row>
    <row r="212" hidden="1">
      <c r="A212" s="1"/>
      <c r="B212" s="1"/>
      <c r="C212" s="1"/>
      <c r="D212" s="1"/>
      <c r="E212" s="1"/>
      <c r="F212" s="1"/>
      <c r="G212" s="1"/>
      <c r="H212" s="1"/>
      <c r="I212" s="1"/>
      <c r="J212" s="1"/>
      <c r="K212" s="1"/>
      <c r="L212" s="1"/>
      <c r="M212" s="1"/>
      <c r="N212" s="1"/>
      <c r="O212" s="1"/>
      <c r="P212" s="1"/>
      <c r="Q212" s="1"/>
      <c r="R212" s="1"/>
      <c r="S212" s="1"/>
      <c r="T212" s="1"/>
      <c r="U212" s="5"/>
      <c r="V212" s="6"/>
      <c r="W212" s="6"/>
      <c r="X212" s="6"/>
      <c r="Y212" s="6"/>
      <c r="Z212" s="6"/>
      <c r="AA212" s="6"/>
      <c r="AB212" s="5"/>
      <c r="AC212" s="174"/>
      <c r="AD212" s="175"/>
    </row>
    <row r="213" hidden="1">
      <c r="A213" s="1"/>
      <c r="B213" s="1"/>
      <c r="C213" s="1"/>
      <c r="D213" s="1"/>
      <c r="E213" s="1"/>
      <c r="F213" s="1"/>
      <c r="G213" s="1"/>
      <c r="H213" s="1"/>
      <c r="I213" s="1"/>
      <c r="J213" s="1"/>
      <c r="K213" s="1"/>
      <c r="L213" s="1"/>
      <c r="M213" s="1"/>
      <c r="N213" s="1"/>
      <c r="O213" s="1"/>
      <c r="P213" s="1"/>
      <c r="Q213" s="1"/>
      <c r="R213" s="1"/>
      <c r="S213" s="1"/>
      <c r="T213" s="1"/>
      <c r="U213" s="5"/>
      <c r="V213" s="6"/>
      <c r="W213" s="6"/>
      <c r="X213" s="6"/>
      <c r="Y213" s="6"/>
      <c r="Z213" s="6"/>
      <c r="AA213" s="6"/>
      <c r="AB213" s="5"/>
      <c r="AC213" s="174"/>
      <c r="AD213" s="175"/>
    </row>
    <row r="214" hidden="1">
      <c r="A214" s="1"/>
      <c r="B214" s="1"/>
      <c r="C214" s="1"/>
      <c r="D214" s="1"/>
      <c r="E214" s="1"/>
      <c r="F214" s="1"/>
      <c r="G214" s="1"/>
      <c r="H214" s="1"/>
      <c r="I214" s="1"/>
      <c r="J214" s="1"/>
      <c r="K214" s="1"/>
      <c r="L214" s="1"/>
      <c r="M214" s="1"/>
      <c r="N214" s="1"/>
      <c r="O214" s="1"/>
      <c r="P214" s="1"/>
      <c r="Q214" s="1"/>
      <c r="R214" s="1"/>
      <c r="S214" s="1"/>
      <c r="T214" s="1"/>
      <c r="U214" s="5"/>
      <c r="V214" s="6"/>
      <c r="W214" s="6"/>
      <c r="X214" s="6"/>
      <c r="Y214" s="6"/>
      <c r="Z214" s="6"/>
      <c r="AA214" s="6"/>
      <c r="AB214" s="5"/>
      <c r="AC214" s="174"/>
      <c r="AD214" s="175"/>
    </row>
    <row r="215" hidden="1">
      <c r="A215" s="1"/>
      <c r="B215" s="1"/>
      <c r="C215" s="1"/>
      <c r="D215" s="1"/>
      <c r="E215" s="1"/>
      <c r="F215" s="1"/>
      <c r="G215" s="1"/>
      <c r="H215" s="1"/>
      <c r="I215" s="1"/>
      <c r="J215" s="1"/>
      <c r="K215" s="1"/>
      <c r="L215" s="1"/>
      <c r="M215" s="1"/>
      <c r="N215" s="1"/>
      <c r="O215" s="1"/>
      <c r="P215" s="1"/>
      <c r="Q215" s="1"/>
      <c r="R215" s="1"/>
      <c r="S215" s="1"/>
      <c r="T215" s="1"/>
      <c r="U215" s="5"/>
      <c r="V215" s="6"/>
      <c r="W215" s="6"/>
      <c r="X215" s="6"/>
      <c r="Y215" s="6"/>
      <c r="Z215" s="6"/>
      <c r="AA215" s="6"/>
      <c r="AB215" s="5"/>
      <c r="AC215" s="174"/>
      <c r="AD215" s="175"/>
    </row>
    <row r="216" hidden="1">
      <c r="A216" s="1"/>
      <c r="B216" s="1"/>
      <c r="C216" s="1"/>
      <c r="D216" s="1"/>
      <c r="E216" s="1"/>
      <c r="F216" s="1"/>
      <c r="G216" s="1"/>
      <c r="H216" s="1"/>
      <c r="I216" s="1"/>
      <c r="J216" s="1"/>
      <c r="K216" s="1"/>
      <c r="L216" s="1"/>
      <c r="M216" s="1"/>
      <c r="N216" s="1"/>
      <c r="O216" s="1"/>
      <c r="P216" s="1"/>
      <c r="Q216" s="1"/>
      <c r="R216" s="1"/>
      <c r="S216" s="1"/>
      <c r="T216" s="1"/>
      <c r="U216" s="5"/>
      <c r="V216" s="6"/>
      <c r="W216" s="6"/>
      <c r="X216" s="6"/>
      <c r="Y216" s="6"/>
      <c r="Z216" s="6"/>
      <c r="AA216" s="6"/>
      <c r="AB216" s="5"/>
      <c r="AC216" s="174"/>
      <c r="AD216" s="175"/>
    </row>
    <row r="217" hidden="1">
      <c r="A217" s="1"/>
      <c r="B217" s="1"/>
      <c r="C217" s="1"/>
      <c r="D217" s="1"/>
      <c r="E217" s="1"/>
      <c r="F217" s="1"/>
      <c r="G217" s="1"/>
      <c r="H217" s="1"/>
      <c r="I217" s="1"/>
      <c r="J217" s="1"/>
      <c r="K217" s="1"/>
      <c r="L217" s="1"/>
      <c r="M217" s="1"/>
      <c r="N217" s="1"/>
      <c r="O217" s="1"/>
      <c r="P217" s="1"/>
      <c r="Q217" s="1"/>
      <c r="R217" s="1"/>
      <c r="S217" s="1"/>
      <c r="T217" s="1"/>
      <c r="U217" s="5"/>
      <c r="V217" s="6"/>
      <c r="W217" s="6"/>
      <c r="X217" s="6"/>
      <c r="Y217" s="6"/>
      <c r="Z217" s="6"/>
      <c r="AA217" s="6"/>
      <c r="AB217" s="5"/>
      <c r="AC217" s="174"/>
      <c r="AD217" s="175"/>
    </row>
    <row r="218" hidden="1">
      <c r="A218" s="1"/>
      <c r="B218" s="1"/>
      <c r="C218" s="1"/>
      <c r="D218" s="1"/>
      <c r="E218" s="1"/>
      <c r="F218" s="1"/>
      <c r="G218" s="1"/>
      <c r="H218" s="1"/>
      <c r="I218" s="1"/>
      <c r="J218" s="1"/>
      <c r="K218" s="1"/>
      <c r="L218" s="1"/>
      <c r="M218" s="1"/>
      <c r="N218" s="1"/>
      <c r="O218" s="1"/>
      <c r="P218" s="1"/>
      <c r="Q218" s="1"/>
      <c r="R218" s="1"/>
      <c r="S218" s="1"/>
      <c r="T218" s="1"/>
      <c r="U218" s="5"/>
      <c r="V218" s="6"/>
      <c r="W218" s="6"/>
      <c r="X218" s="6"/>
      <c r="Y218" s="6"/>
      <c r="Z218" s="6"/>
      <c r="AA218" s="6"/>
      <c r="AB218" s="5"/>
      <c r="AC218" s="174"/>
      <c r="AD218" s="175"/>
    </row>
    <row r="219" hidden="1">
      <c r="A219" s="1"/>
      <c r="B219" s="1"/>
      <c r="C219" s="1"/>
      <c r="D219" s="1"/>
      <c r="E219" s="1"/>
      <c r="F219" s="1"/>
      <c r="G219" s="1"/>
      <c r="H219" s="1"/>
      <c r="I219" s="1"/>
      <c r="J219" s="1"/>
      <c r="K219" s="1"/>
      <c r="L219" s="1"/>
      <c r="M219" s="1"/>
      <c r="N219" s="1"/>
      <c r="O219" s="1"/>
      <c r="P219" s="1"/>
      <c r="Q219" s="1"/>
      <c r="R219" s="1"/>
      <c r="S219" s="1"/>
      <c r="T219" s="1"/>
      <c r="U219" s="5"/>
      <c r="V219" s="6"/>
      <c r="W219" s="6"/>
      <c r="X219" s="6"/>
      <c r="Y219" s="6"/>
      <c r="Z219" s="6"/>
      <c r="AA219" s="6"/>
      <c r="AB219" s="5"/>
      <c r="AC219" s="174"/>
      <c r="AD219" s="175"/>
    </row>
    <row r="220" hidden="1">
      <c r="A220" s="1"/>
      <c r="B220" s="1"/>
      <c r="C220" s="1"/>
      <c r="D220" s="1"/>
      <c r="E220" s="1"/>
      <c r="F220" s="1"/>
      <c r="G220" s="1"/>
      <c r="H220" s="1"/>
      <c r="I220" s="1"/>
      <c r="J220" s="1"/>
      <c r="K220" s="1"/>
      <c r="L220" s="1"/>
      <c r="M220" s="1"/>
      <c r="N220" s="1"/>
      <c r="O220" s="1"/>
      <c r="P220" s="1"/>
      <c r="Q220" s="1"/>
      <c r="R220" s="1"/>
      <c r="S220" s="1"/>
      <c r="T220" s="1"/>
      <c r="U220" s="5"/>
      <c r="V220" s="6"/>
      <c r="W220" s="6"/>
      <c r="X220" s="6"/>
      <c r="Y220" s="6"/>
      <c r="Z220" s="6"/>
      <c r="AA220" s="6"/>
      <c r="AB220" s="5"/>
      <c r="AC220" s="174"/>
      <c r="AD220" s="175"/>
    </row>
    <row r="221" hidden="1">
      <c r="A221" s="1"/>
      <c r="B221" s="1"/>
      <c r="C221" s="1"/>
      <c r="D221" s="1"/>
      <c r="E221" s="1"/>
      <c r="F221" s="1"/>
      <c r="G221" s="1"/>
      <c r="H221" s="1"/>
      <c r="I221" s="1"/>
      <c r="J221" s="1"/>
      <c r="K221" s="1"/>
      <c r="L221" s="1"/>
      <c r="M221" s="1"/>
      <c r="N221" s="1"/>
      <c r="O221" s="1"/>
      <c r="P221" s="1"/>
      <c r="Q221" s="1"/>
      <c r="R221" s="1"/>
      <c r="S221" s="1"/>
      <c r="T221" s="1"/>
      <c r="U221" s="5"/>
      <c r="V221" s="6"/>
      <c r="W221" s="6"/>
      <c r="X221" s="6"/>
      <c r="Y221" s="6"/>
      <c r="Z221" s="6"/>
      <c r="AA221" s="6"/>
      <c r="AB221" s="5"/>
      <c r="AC221" s="174"/>
      <c r="AD221" s="175"/>
    </row>
    <row r="222" hidden="1">
      <c r="A222" s="1"/>
      <c r="B222" s="1"/>
      <c r="C222" s="1"/>
      <c r="D222" s="1"/>
      <c r="E222" s="1"/>
      <c r="F222" s="1"/>
      <c r="G222" s="1"/>
      <c r="H222" s="1"/>
      <c r="I222" s="1"/>
      <c r="J222" s="1"/>
      <c r="K222" s="1"/>
      <c r="L222" s="1"/>
      <c r="M222" s="1"/>
      <c r="N222" s="1"/>
      <c r="O222" s="1"/>
      <c r="P222" s="1"/>
      <c r="Q222" s="1"/>
      <c r="R222" s="1"/>
      <c r="S222" s="1"/>
      <c r="T222" s="1"/>
      <c r="U222" s="5"/>
      <c r="V222" s="6"/>
      <c r="W222" s="6"/>
      <c r="X222" s="6"/>
      <c r="Y222" s="6"/>
      <c r="Z222" s="6"/>
      <c r="AA222" s="6"/>
      <c r="AB222" s="5"/>
      <c r="AC222" s="174"/>
      <c r="AD222" s="175"/>
    </row>
    <row r="223" hidden="1">
      <c r="A223" s="1"/>
      <c r="B223" s="1"/>
      <c r="C223" s="1"/>
      <c r="D223" s="1"/>
      <c r="E223" s="1"/>
      <c r="F223" s="1"/>
      <c r="G223" s="1"/>
      <c r="H223" s="1"/>
      <c r="I223" s="1"/>
      <c r="J223" s="1"/>
      <c r="K223" s="1"/>
      <c r="L223" s="1"/>
      <c r="M223" s="1"/>
      <c r="N223" s="1"/>
      <c r="O223" s="1"/>
      <c r="P223" s="1"/>
      <c r="Q223" s="1"/>
      <c r="R223" s="1"/>
      <c r="S223" s="1"/>
      <c r="T223" s="1"/>
      <c r="U223" s="5"/>
      <c r="V223" s="6"/>
      <c r="W223" s="6"/>
      <c r="X223" s="6"/>
      <c r="Y223" s="6"/>
      <c r="Z223" s="6"/>
      <c r="AA223" s="6"/>
      <c r="AB223" s="5"/>
      <c r="AC223" s="174"/>
      <c r="AD223" s="175"/>
    </row>
    <row r="224" hidden="1">
      <c r="A224" s="1"/>
      <c r="B224" s="1"/>
      <c r="C224" s="1"/>
      <c r="D224" s="1"/>
      <c r="E224" s="1"/>
      <c r="F224" s="1"/>
      <c r="G224" s="1"/>
      <c r="H224" s="1"/>
      <c r="I224" s="1"/>
      <c r="J224" s="1"/>
      <c r="K224" s="1"/>
      <c r="L224" s="1"/>
      <c r="M224" s="1"/>
      <c r="N224" s="1"/>
      <c r="O224" s="1"/>
      <c r="P224" s="1"/>
      <c r="Q224" s="1"/>
      <c r="R224" s="1"/>
      <c r="S224" s="1"/>
      <c r="T224" s="1"/>
      <c r="U224" s="5"/>
      <c r="V224" s="6"/>
      <c r="W224" s="6"/>
      <c r="X224" s="6"/>
      <c r="Y224" s="6"/>
      <c r="Z224" s="6"/>
      <c r="AA224" s="6"/>
      <c r="AB224" s="5"/>
      <c r="AC224" s="174"/>
      <c r="AD224" s="175"/>
    </row>
    <row r="225" hidden="1">
      <c r="A225" s="1"/>
      <c r="B225" s="1"/>
      <c r="C225" s="1"/>
      <c r="D225" s="1"/>
      <c r="E225" s="1"/>
      <c r="F225" s="1"/>
      <c r="G225" s="1"/>
      <c r="H225" s="1"/>
      <c r="I225" s="1"/>
      <c r="J225" s="1"/>
      <c r="K225" s="1"/>
      <c r="L225" s="1"/>
      <c r="M225" s="1"/>
      <c r="N225" s="1"/>
      <c r="O225" s="1"/>
      <c r="P225" s="1"/>
      <c r="Q225" s="1"/>
      <c r="R225" s="1"/>
      <c r="S225" s="1"/>
      <c r="T225" s="1"/>
      <c r="U225" s="5"/>
      <c r="V225" s="6"/>
      <c r="W225" s="6"/>
      <c r="X225" s="6"/>
      <c r="Y225" s="6"/>
      <c r="Z225" s="6"/>
      <c r="AA225" s="6"/>
      <c r="AB225" s="5"/>
      <c r="AC225" s="174"/>
      <c r="AD225" s="175"/>
    </row>
    <row r="226" hidden="1">
      <c r="A226" s="1"/>
      <c r="B226" s="1"/>
      <c r="C226" s="1"/>
      <c r="D226" s="1"/>
      <c r="E226" s="1"/>
      <c r="F226" s="1"/>
      <c r="G226" s="1"/>
      <c r="H226" s="1"/>
      <c r="I226" s="1"/>
      <c r="J226" s="1"/>
      <c r="K226" s="1"/>
      <c r="L226" s="1"/>
      <c r="M226" s="1"/>
      <c r="N226" s="1"/>
      <c r="O226" s="1"/>
      <c r="P226" s="1"/>
      <c r="Q226" s="1"/>
      <c r="R226" s="1"/>
      <c r="S226" s="1"/>
      <c r="T226" s="1"/>
      <c r="U226" s="5"/>
      <c r="V226" s="6"/>
      <c r="W226" s="6"/>
      <c r="X226" s="6"/>
      <c r="Y226" s="6"/>
      <c r="Z226" s="6"/>
      <c r="AA226" s="6"/>
      <c r="AB226" s="5"/>
      <c r="AC226" s="174"/>
      <c r="AD226" s="175"/>
    </row>
    <row r="227" hidden="1">
      <c r="A227" s="1"/>
      <c r="B227" s="1"/>
      <c r="C227" s="1"/>
      <c r="D227" s="1"/>
      <c r="E227" s="1"/>
      <c r="F227" s="1"/>
      <c r="G227" s="1"/>
      <c r="H227" s="1"/>
      <c r="I227" s="1"/>
      <c r="J227" s="1"/>
      <c r="K227" s="1"/>
      <c r="L227" s="1"/>
      <c r="M227" s="1"/>
      <c r="N227" s="1"/>
      <c r="O227" s="1"/>
      <c r="P227" s="1"/>
      <c r="Q227" s="1"/>
      <c r="R227" s="1"/>
      <c r="S227" s="1"/>
      <c r="T227" s="1"/>
      <c r="U227" s="5"/>
      <c r="V227" s="6"/>
      <c r="W227" s="6"/>
      <c r="X227" s="6"/>
      <c r="Y227" s="6"/>
      <c r="Z227" s="6"/>
      <c r="AA227" s="6"/>
      <c r="AB227" s="5"/>
      <c r="AC227" s="174"/>
      <c r="AD227" s="175"/>
    </row>
    <row r="228" hidden="1">
      <c r="A228" s="1"/>
      <c r="B228" s="1"/>
      <c r="C228" s="1"/>
      <c r="D228" s="1"/>
      <c r="E228" s="1"/>
      <c r="F228" s="1"/>
      <c r="G228" s="1"/>
      <c r="H228" s="1"/>
      <c r="I228" s="1"/>
      <c r="J228" s="1"/>
      <c r="K228" s="1"/>
      <c r="L228" s="1"/>
      <c r="M228" s="1"/>
      <c r="N228" s="1"/>
      <c r="O228" s="1"/>
      <c r="P228" s="1"/>
      <c r="Q228" s="1"/>
      <c r="R228" s="1"/>
      <c r="S228" s="1"/>
      <c r="T228" s="1"/>
      <c r="U228" s="5"/>
      <c r="V228" s="6"/>
      <c r="W228" s="6"/>
      <c r="X228" s="6"/>
      <c r="Y228" s="6"/>
      <c r="Z228" s="6"/>
      <c r="AA228" s="6"/>
      <c r="AB228" s="5"/>
      <c r="AC228" s="174"/>
      <c r="AD228" s="175"/>
    </row>
    <row r="229" hidden="1">
      <c r="A229" s="1"/>
      <c r="B229" s="1"/>
      <c r="C229" s="1"/>
      <c r="D229" s="1"/>
      <c r="E229" s="1"/>
      <c r="F229" s="1"/>
      <c r="G229" s="1"/>
      <c r="H229" s="1"/>
      <c r="I229" s="1"/>
      <c r="J229" s="1"/>
      <c r="K229" s="1"/>
      <c r="L229" s="1"/>
      <c r="M229" s="1"/>
      <c r="N229" s="1"/>
      <c r="O229" s="1"/>
      <c r="P229" s="1"/>
      <c r="Q229" s="1"/>
      <c r="R229" s="1"/>
      <c r="S229" s="1"/>
      <c r="T229" s="1"/>
      <c r="U229" s="5"/>
      <c r="V229" s="6"/>
      <c r="W229" s="6"/>
      <c r="X229" s="6"/>
      <c r="Y229" s="6"/>
      <c r="Z229" s="6"/>
      <c r="AA229" s="6"/>
      <c r="AB229" s="5"/>
      <c r="AC229" s="174"/>
      <c r="AD229" s="175"/>
    </row>
    <row r="230" hidden="1">
      <c r="A230" s="1"/>
      <c r="B230" s="1"/>
      <c r="C230" s="1"/>
      <c r="D230" s="1"/>
      <c r="E230" s="1"/>
      <c r="F230" s="1"/>
      <c r="G230" s="1"/>
      <c r="H230" s="1"/>
      <c r="I230" s="1"/>
      <c r="J230" s="1"/>
      <c r="K230" s="1"/>
      <c r="L230" s="1"/>
      <c r="M230" s="1"/>
      <c r="N230" s="1"/>
      <c r="O230" s="1"/>
      <c r="P230" s="1"/>
      <c r="Q230" s="1"/>
      <c r="R230" s="1"/>
      <c r="S230" s="1"/>
      <c r="T230" s="1"/>
      <c r="U230" s="5"/>
      <c r="V230" s="6"/>
      <c r="W230" s="6"/>
      <c r="X230" s="6"/>
      <c r="Y230" s="6"/>
      <c r="Z230" s="6"/>
      <c r="AA230" s="6"/>
      <c r="AB230" s="5"/>
      <c r="AC230" s="174"/>
      <c r="AD230" s="175"/>
    </row>
    <row r="231" hidden="1">
      <c r="A231" s="1"/>
      <c r="B231" s="1"/>
      <c r="C231" s="1"/>
      <c r="D231" s="1"/>
      <c r="E231" s="1"/>
      <c r="F231" s="1"/>
      <c r="G231" s="1"/>
      <c r="H231" s="1"/>
      <c r="I231" s="1"/>
      <c r="J231" s="1"/>
      <c r="K231" s="1"/>
      <c r="L231" s="1"/>
      <c r="M231" s="1"/>
      <c r="N231" s="1"/>
      <c r="O231" s="1"/>
      <c r="P231" s="1"/>
      <c r="Q231" s="1"/>
      <c r="R231" s="1"/>
      <c r="S231" s="1"/>
      <c r="T231" s="1"/>
      <c r="U231" s="5"/>
      <c r="V231" s="6"/>
      <c r="W231" s="6"/>
      <c r="X231" s="6"/>
      <c r="Y231" s="6"/>
      <c r="Z231" s="6"/>
      <c r="AA231" s="6"/>
      <c r="AB231" s="5"/>
      <c r="AC231" s="174"/>
      <c r="AD231" s="175"/>
    </row>
    <row r="232" hidden="1">
      <c r="A232" s="1"/>
      <c r="B232" s="1"/>
      <c r="C232" s="1"/>
      <c r="D232" s="1"/>
      <c r="E232" s="1"/>
      <c r="F232" s="1"/>
      <c r="G232" s="1"/>
      <c r="H232" s="1"/>
      <c r="I232" s="1"/>
      <c r="J232" s="1"/>
      <c r="K232" s="1"/>
      <c r="L232" s="1"/>
      <c r="M232" s="1"/>
      <c r="N232" s="1"/>
      <c r="O232" s="1"/>
      <c r="P232" s="1"/>
      <c r="Q232" s="1"/>
      <c r="R232" s="1"/>
      <c r="S232" s="1"/>
      <c r="T232" s="1"/>
      <c r="U232" s="5"/>
      <c r="V232" s="6"/>
      <c r="W232" s="6"/>
      <c r="X232" s="6"/>
      <c r="Y232" s="6"/>
      <c r="Z232" s="6"/>
      <c r="AA232" s="6"/>
      <c r="AB232" s="5"/>
      <c r="AC232" s="174"/>
      <c r="AD232" s="175"/>
    </row>
    <row r="233" hidden="1">
      <c r="A233" s="1"/>
      <c r="B233" s="1"/>
      <c r="C233" s="1"/>
      <c r="D233" s="1"/>
      <c r="E233" s="1"/>
      <c r="F233" s="1"/>
      <c r="G233" s="1"/>
      <c r="H233" s="1"/>
      <c r="I233" s="1"/>
      <c r="J233" s="1"/>
      <c r="K233" s="1"/>
      <c r="L233" s="1"/>
      <c r="M233" s="1"/>
      <c r="N233" s="1"/>
      <c r="O233" s="1"/>
      <c r="P233" s="1"/>
      <c r="Q233" s="1"/>
      <c r="R233" s="1"/>
      <c r="S233" s="1"/>
      <c r="T233" s="1"/>
      <c r="U233" s="5"/>
      <c r="V233" s="6"/>
      <c r="W233" s="6"/>
      <c r="X233" s="6"/>
      <c r="Y233" s="6"/>
      <c r="Z233" s="6"/>
      <c r="AA233" s="6"/>
      <c r="AB233" s="5"/>
      <c r="AC233" s="174"/>
      <c r="AD233" s="175"/>
    </row>
    <row r="234" hidden="1">
      <c r="A234" s="1"/>
      <c r="B234" s="1"/>
      <c r="C234" s="1"/>
      <c r="D234" s="1"/>
      <c r="E234" s="1"/>
      <c r="F234" s="1"/>
      <c r="G234" s="1"/>
      <c r="H234" s="1"/>
      <c r="I234" s="1"/>
      <c r="J234" s="1"/>
      <c r="K234" s="1"/>
      <c r="L234" s="1"/>
      <c r="M234" s="1"/>
      <c r="N234" s="1"/>
      <c r="O234" s="1"/>
      <c r="P234" s="1"/>
      <c r="Q234" s="1"/>
      <c r="R234" s="1"/>
      <c r="S234" s="1"/>
      <c r="T234" s="1"/>
      <c r="U234" s="5"/>
      <c r="V234" s="6"/>
      <c r="W234" s="6"/>
      <c r="X234" s="6"/>
      <c r="Y234" s="6"/>
      <c r="Z234" s="6"/>
      <c r="AA234" s="6"/>
      <c r="AB234" s="5"/>
      <c r="AC234" s="174"/>
      <c r="AD234" s="175"/>
    </row>
    <row r="235" hidden="1">
      <c r="A235" s="1"/>
      <c r="B235" s="1"/>
      <c r="C235" s="1"/>
      <c r="D235" s="1"/>
      <c r="E235" s="1"/>
      <c r="F235" s="1"/>
      <c r="G235" s="1"/>
      <c r="H235" s="1"/>
      <c r="I235" s="1"/>
      <c r="J235" s="1"/>
      <c r="K235" s="1"/>
      <c r="L235" s="1"/>
      <c r="M235" s="1"/>
      <c r="N235" s="1"/>
      <c r="O235" s="1"/>
      <c r="P235" s="1"/>
      <c r="Q235" s="1"/>
      <c r="R235" s="1"/>
      <c r="S235" s="1"/>
      <c r="T235" s="1"/>
      <c r="U235" s="5"/>
      <c r="V235" s="6"/>
      <c r="W235" s="6"/>
      <c r="X235" s="6"/>
      <c r="Y235" s="6"/>
      <c r="Z235" s="6"/>
      <c r="AA235" s="6"/>
      <c r="AB235" s="5"/>
      <c r="AC235" s="174"/>
      <c r="AD235" s="175"/>
    </row>
    <row r="236" hidden="1">
      <c r="A236" s="1"/>
      <c r="B236" s="1"/>
      <c r="C236" s="1"/>
      <c r="D236" s="1"/>
      <c r="E236" s="1"/>
      <c r="F236" s="1"/>
      <c r="G236" s="1"/>
      <c r="H236" s="1"/>
      <c r="I236" s="1"/>
      <c r="J236" s="1"/>
      <c r="K236" s="1"/>
      <c r="L236" s="1"/>
      <c r="M236" s="1"/>
      <c r="N236" s="1"/>
      <c r="O236" s="1"/>
      <c r="P236" s="1"/>
      <c r="Q236" s="1"/>
      <c r="R236" s="1"/>
      <c r="S236" s="1"/>
      <c r="T236" s="1"/>
      <c r="U236" s="5"/>
      <c r="V236" s="6"/>
      <c r="W236" s="6"/>
      <c r="X236" s="6"/>
      <c r="Y236" s="6"/>
      <c r="Z236" s="6"/>
      <c r="AA236" s="6"/>
      <c r="AB236" s="5"/>
      <c r="AC236" s="174"/>
      <c r="AD236" s="175"/>
    </row>
    <row r="237" hidden="1">
      <c r="A237" s="1"/>
      <c r="B237" s="1"/>
      <c r="C237" s="1"/>
      <c r="D237" s="1"/>
      <c r="E237" s="1"/>
      <c r="F237" s="1"/>
      <c r="G237" s="1"/>
      <c r="H237" s="1"/>
      <c r="I237" s="1"/>
      <c r="J237" s="1"/>
      <c r="K237" s="1"/>
      <c r="L237" s="1"/>
      <c r="M237" s="1"/>
      <c r="N237" s="1"/>
      <c r="O237" s="1"/>
      <c r="P237" s="1"/>
      <c r="Q237" s="1"/>
      <c r="R237" s="1"/>
      <c r="S237" s="1"/>
      <c r="T237" s="1"/>
      <c r="U237" s="5"/>
      <c r="V237" s="6"/>
      <c r="W237" s="6"/>
      <c r="X237" s="6"/>
      <c r="Y237" s="6"/>
      <c r="Z237" s="6"/>
      <c r="AA237" s="6"/>
      <c r="AB237" s="5"/>
      <c r="AC237" s="174"/>
      <c r="AD237" s="175"/>
    </row>
    <row r="238" hidden="1">
      <c r="A238" s="1"/>
      <c r="B238" s="1"/>
      <c r="C238" s="1"/>
      <c r="D238" s="1"/>
      <c r="E238" s="1"/>
      <c r="F238" s="1"/>
      <c r="G238" s="1"/>
      <c r="H238" s="1"/>
      <c r="I238" s="1"/>
      <c r="J238" s="1"/>
      <c r="K238" s="1"/>
      <c r="L238" s="1"/>
      <c r="M238" s="1"/>
      <c r="N238" s="1"/>
      <c r="O238" s="1"/>
      <c r="P238" s="1"/>
      <c r="Q238" s="1"/>
      <c r="R238" s="1"/>
      <c r="S238" s="1"/>
      <c r="T238" s="1"/>
      <c r="U238" s="5"/>
      <c r="V238" s="6"/>
      <c r="W238" s="6"/>
      <c r="X238" s="6"/>
      <c r="Y238" s="6"/>
      <c r="Z238" s="6"/>
      <c r="AA238" s="6"/>
      <c r="AB238" s="5"/>
      <c r="AC238" s="174"/>
      <c r="AD238" s="175"/>
    </row>
    <row r="239" hidden="1">
      <c r="A239" s="1"/>
      <c r="B239" s="1"/>
      <c r="C239" s="1"/>
      <c r="D239" s="1"/>
      <c r="E239" s="1"/>
      <c r="F239" s="1"/>
      <c r="G239" s="1"/>
      <c r="H239" s="1"/>
      <c r="I239" s="1"/>
      <c r="J239" s="1"/>
      <c r="K239" s="1"/>
      <c r="L239" s="1"/>
      <c r="M239" s="1"/>
      <c r="N239" s="1"/>
      <c r="O239" s="1"/>
      <c r="P239" s="1"/>
      <c r="Q239" s="1"/>
      <c r="R239" s="1"/>
      <c r="S239" s="1"/>
      <c r="T239" s="1"/>
      <c r="U239" s="5"/>
      <c r="V239" s="6"/>
      <c r="W239" s="6"/>
      <c r="X239" s="6"/>
      <c r="Y239" s="6"/>
      <c r="Z239" s="6"/>
      <c r="AA239" s="6"/>
      <c r="AB239" s="5"/>
      <c r="AC239" s="174"/>
      <c r="AD239" s="175"/>
    </row>
    <row r="240" hidden="1">
      <c r="A240" s="1"/>
      <c r="B240" s="1"/>
      <c r="C240" s="1"/>
      <c r="D240" s="1"/>
      <c r="E240" s="1"/>
      <c r="F240" s="1"/>
      <c r="G240" s="1"/>
      <c r="H240" s="1"/>
      <c r="I240" s="1"/>
      <c r="J240" s="1"/>
      <c r="K240" s="1"/>
      <c r="L240" s="1"/>
      <c r="M240" s="1"/>
      <c r="N240" s="1"/>
      <c r="O240" s="1"/>
      <c r="P240" s="1"/>
      <c r="Q240" s="1"/>
      <c r="R240" s="1"/>
      <c r="S240" s="1"/>
      <c r="T240" s="1"/>
      <c r="U240" s="5"/>
      <c r="V240" s="6"/>
      <c r="W240" s="6"/>
      <c r="X240" s="6"/>
      <c r="Y240" s="6"/>
      <c r="Z240" s="6"/>
      <c r="AA240" s="6"/>
      <c r="AB240" s="5"/>
      <c r="AC240" s="174"/>
      <c r="AD240" s="175"/>
    </row>
    <row r="241" hidden="1">
      <c r="A241" s="1"/>
      <c r="B241" s="1"/>
      <c r="C241" s="1"/>
      <c r="D241" s="1"/>
      <c r="E241" s="1"/>
      <c r="F241" s="1"/>
      <c r="G241" s="1"/>
      <c r="H241" s="1"/>
      <c r="I241" s="1"/>
      <c r="J241" s="1"/>
      <c r="K241" s="1"/>
      <c r="L241" s="1"/>
      <c r="M241" s="1"/>
      <c r="N241" s="1"/>
      <c r="O241" s="1"/>
      <c r="P241" s="1"/>
      <c r="Q241" s="1"/>
      <c r="R241" s="1"/>
      <c r="S241" s="1"/>
      <c r="T241" s="1"/>
      <c r="U241" s="5"/>
      <c r="V241" s="6"/>
      <c r="W241" s="6"/>
      <c r="X241" s="6"/>
      <c r="Y241" s="6"/>
      <c r="Z241" s="6"/>
      <c r="AA241" s="6"/>
      <c r="AB241" s="5"/>
      <c r="AC241" s="174"/>
      <c r="AD241" s="175"/>
    </row>
    <row r="242" hidden="1">
      <c r="A242" s="1"/>
      <c r="B242" s="1"/>
      <c r="C242" s="1"/>
      <c r="D242" s="1"/>
      <c r="E242" s="1"/>
      <c r="F242" s="1"/>
      <c r="G242" s="1"/>
      <c r="H242" s="1"/>
      <c r="I242" s="1"/>
      <c r="J242" s="1"/>
      <c r="K242" s="1"/>
      <c r="L242" s="1"/>
      <c r="M242" s="1"/>
      <c r="N242" s="1"/>
      <c r="O242" s="1"/>
      <c r="P242" s="1"/>
      <c r="Q242" s="1"/>
      <c r="R242" s="1"/>
      <c r="S242" s="1"/>
      <c r="T242" s="1"/>
      <c r="U242" s="5"/>
      <c r="V242" s="6"/>
      <c r="W242" s="6"/>
      <c r="X242" s="6"/>
      <c r="Y242" s="6"/>
      <c r="Z242" s="6"/>
      <c r="AA242" s="6"/>
      <c r="AB242" s="5"/>
      <c r="AC242" s="174"/>
      <c r="AD242" s="175"/>
    </row>
    <row r="243" hidden="1">
      <c r="A243" s="1"/>
      <c r="B243" s="1"/>
      <c r="C243" s="1"/>
      <c r="D243" s="1"/>
      <c r="E243" s="1"/>
      <c r="F243" s="1"/>
      <c r="G243" s="1"/>
      <c r="H243" s="1"/>
      <c r="I243" s="1"/>
      <c r="J243" s="1"/>
      <c r="K243" s="1"/>
      <c r="L243" s="1"/>
      <c r="M243" s="1"/>
      <c r="N243" s="1"/>
      <c r="O243" s="1"/>
      <c r="P243" s="1"/>
      <c r="Q243" s="1"/>
      <c r="R243" s="1"/>
      <c r="S243" s="1"/>
      <c r="T243" s="1"/>
      <c r="U243" s="5"/>
      <c r="V243" s="6"/>
      <c r="W243" s="6"/>
      <c r="X243" s="6"/>
      <c r="Y243" s="6"/>
      <c r="Z243" s="6"/>
      <c r="AA243" s="6"/>
      <c r="AB243" s="5"/>
      <c r="AC243" s="174"/>
      <c r="AD243" s="175"/>
    </row>
    <row r="244" hidden="1">
      <c r="A244" s="1"/>
      <c r="B244" s="1"/>
      <c r="C244" s="1"/>
      <c r="D244" s="1"/>
      <c r="E244" s="1"/>
      <c r="F244" s="1"/>
      <c r="G244" s="1"/>
      <c r="H244" s="1"/>
      <c r="I244" s="1"/>
      <c r="J244" s="1"/>
      <c r="K244" s="1"/>
      <c r="L244" s="1"/>
      <c r="M244" s="1"/>
      <c r="N244" s="1"/>
      <c r="O244" s="1"/>
      <c r="P244" s="1"/>
      <c r="Q244" s="1"/>
      <c r="R244" s="1"/>
      <c r="S244" s="1"/>
      <c r="T244" s="1"/>
      <c r="U244" s="5"/>
      <c r="V244" s="6"/>
      <c r="W244" s="6"/>
      <c r="X244" s="6"/>
      <c r="Y244" s="6"/>
      <c r="Z244" s="6"/>
      <c r="AA244" s="6"/>
      <c r="AB244" s="5"/>
      <c r="AC244" s="174"/>
      <c r="AD244" s="175"/>
    </row>
    <row r="245" hidden="1">
      <c r="A245" s="1"/>
      <c r="B245" s="1"/>
      <c r="C245" s="1"/>
      <c r="D245" s="1"/>
      <c r="E245" s="1"/>
      <c r="F245" s="1"/>
      <c r="G245" s="1"/>
      <c r="H245" s="1"/>
      <c r="I245" s="1"/>
      <c r="J245" s="1"/>
      <c r="K245" s="1"/>
      <c r="L245" s="1"/>
      <c r="M245" s="1"/>
      <c r="N245" s="1"/>
      <c r="O245" s="1"/>
      <c r="P245" s="1"/>
      <c r="Q245" s="1"/>
      <c r="R245" s="1"/>
      <c r="S245" s="1"/>
      <c r="T245" s="1"/>
      <c r="U245" s="5"/>
      <c r="V245" s="6"/>
      <c r="W245" s="6"/>
      <c r="X245" s="6"/>
      <c r="Y245" s="6"/>
      <c r="Z245" s="6"/>
      <c r="AA245" s="6"/>
      <c r="AB245" s="5"/>
      <c r="AC245" s="174"/>
      <c r="AD245" s="175"/>
    </row>
    <row r="246" hidden="1">
      <c r="A246" s="1"/>
      <c r="B246" s="1"/>
      <c r="C246" s="1"/>
      <c r="D246" s="1"/>
      <c r="E246" s="1"/>
      <c r="F246" s="1"/>
      <c r="G246" s="1"/>
      <c r="H246" s="1"/>
      <c r="I246" s="1"/>
      <c r="J246" s="1"/>
      <c r="K246" s="1"/>
      <c r="L246" s="1"/>
      <c r="M246" s="1"/>
      <c r="N246" s="1"/>
      <c r="O246" s="1"/>
      <c r="P246" s="1"/>
      <c r="Q246" s="1"/>
      <c r="R246" s="1"/>
      <c r="S246" s="1"/>
      <c r="T246" s="1"/>
      <c r="U246" s="5"/>
      <c r="V246" s="6"/>
      <c r="W246" s="6"/>
      <c r="X246" s="6"/>
      <c r="Y246" s="6"/>
      <c r="Z246" s="6"/>
      <c r="AA246" s="6"/>
      <c r="AB246" s="5"/>
      <c r="AC246" s="174"/>
      <c r="AD246" s="175"/>
    </row>
    <row r="247" hidden="1">
      <c r="A247" s="1"/>
      <c r="B247" s="1"/>
      <c r="C247" s="1"/>
      <c r="D247" s="1"/>
      <c r="E247" s="1"/>
      <c r="F247" s="1"/>
      <c r="G247" s="1"/>
      <c r="H247" s="1"/>
      <c r="I247" s="1"/>
      <c r="J247" s="1"/>
      <c r="K247" s="1"/>
      <c r="L247" s="1"/>
      <c r="M247" s="1"/>
      <c r="N247" s="1"/>
      <c r="O247" s="1"/>
      <c r="P247" s="1"/>
      <c r="Q247" s="1"/>
      <c r="R247" s="1"/>
      <c r="S247" s="1"/>
      <c r="T247" s="1"/>
      <c r="U247" s="5"/>
      <c r="V247" s="6"/>
      <c r="W247" s="6"/>
      <c r="X247" s="6"/>
      <c r="Y247" s="6"/>
      <c r="Z247" s="6"/>
      <c r="AA247" s="6"/>
      <c r="AB247" s="5"/>
      <c r="AC247" s="174"/>
      <c r="AD247" s="175"/>
    </row>
    <row r="248" hidden="1">
      <c r="A248" s="1"/>
      <c r="B248" s="1"/>
      <c r="C248" s="1"/>
      <c r="D248" s="1"/>
      <c r="E248" s="1"/>
      <c r="F248" s="1"/>
      <c r="G248" s="1"/>
      <c r="H248" s="1"/>
      <c r="I248" s="1"/>
      <c r="J248" s="1"/>
      <c r="K248" s="1"/>
      <c r="L248" s="1"/>
      <c r="M248" s="1"/>
      <c r="N248" s="1"/>
      <c r="O248" s="1"/>
      <c r="P248" s="1"/>
      <c r="Q248" s="1"/>
      <c r="R248" s="1"/>
      <c r="S248" s="1"/>
      <c r="T248" s="1"/>
      <c r="U248" s="5"/>
      <c r="V248" s="6"/>
      <c r="W248" s="6"/>
      <c r="X248" s="6"/>
      <c r="Y248" s="6"/>
      <c r="Z248" s="6"/>
      <c r="AA248" s="6"/>
      <c r="AB248" s="5"/>
      <c r="AC248" s="174"/>
      <c r="AD248" s="175"/>
    </row>
    <row r="249" hidden="1">
      <c r="A249" s="1"/>
      <c r="B249" s="1"/>
      <c r="C249" s="1"/>
      <c r="D249" s="1"/>
      <c r="E249" s="1"/>
      <c r="F249" s="1"/>
      <c r="G249" s="1"/>
      <c r="H249" s="1"/>
      <c r="I249" s="1"/>
      <c r="J249" s="1"/>
      <c r="K249" s="1"/>
      <c r="L249" s="1"/>
      <c r="M249" s="1"/>
      <c r="N249" s="1"/>
      <c r="O249" s="1"/>
      <c r="P249" s="1"/>
      <c r="Q249" s="1"/>
      <c r="R249" s="1"/>
      <c r="S249" s="1"/>
      <c r="T249" s="1"/>
      <c r="U249" s="5"/>
      <c r="V249" s="6"/>
      <c r="W249" s="6"/>
      <c r="X249" s="6"/>
      <c r="Y249" s="6"/>
      <c r="Z249" s="6"/>
      <c r="AA249" s="6"/>
      <c r="AB249" s="5"/>
      <c r="AC249" s="174"/>
      <c r="AD249" s="175"/>
    </row>
    <row r="250" hidden="1">
      <c r="A250" s="1"/>
      <c r="B250" s="1"/>
      <c r="C250" s="1"/>
      <c r="D250" s="1"/>
      <c r="E250" s="1"/>
      <c r="F250" s="1"/>
      <c r="G250" s="1"/>
      <c r="H250" s="1"/>
      <c r="I250" s="1"/>
      <c r="J250" s="1"/>
      <c r="K250" s="1"/>
      <c r="L250" s="1"/>
      <c r="M250" s="1"/>
      <c r="N250" s="1"/>
      <c r="O250" s="1"/>
      <c r="P250" s="1"/>
      <c r="Q250" s="1"/>
      <c r="R250" s="1"/>
      <c r="S250" s="1"/>
      <c r="T250" s="1"/>
      <c r="U250" s="5"/>
      <c r="V250" s="6"/>
      <c r="W250" s="6"/>
      <c r="X250" s="6"/>
      <c r="Y250" s="6"/>
      <c r="Z250" s="6"/>
      <c r="AA250" s="6"/>
      <c r="AB250" s="5"/>
      <c r="AC250" s="174"/>
      <c r="AD250" s="175"/>
    </row>
    <row r="251" hidden="1">
      <c r="A251" s="1"/>
      <c r="B251" s="1"/>
      <c r="C251" s="1"/>
      <c r="D251" s="1"/>
      <c r="E251" s="1"/>
      <c r="F251" s="1"/>
      <c r="G251" s="1"/>
      <c r="H251" s="1"/>
      <c r="I251" s="1"/>
      <c r="J251" s="1"/>
      <c r="K251" s="1"/>
      <c r="L251" s="1"/>
      <c r="M251" s="1"/>
      <c r="N251" s="1"/>
      <c r="O251" s="1"/>
      <c r="P251" s="1"/>
      <c r="Q251" s="1"/>
      <c r="R251" s="1"/>
      <c r="S251" s="1"/>
      <c r="T251" s="1"/>
      <c r="U251" s="5"/>
      <c r="V251" s="6"/>
      <c r="W251" s="6"/>
      <c r="X251" s="6"/>
      <c r="Y251" s="6"/>
      <c r="Z251" s="6"/>
      <c r="AA251" s="6"/>
      <c r="AB251" s="5"/>
      <c r="AC251" s="174"/>
      <c r="AD251" s="175"/>
    </row>
    <row r="252" hidden="1">
      <c r="A252" s="1"/>
      <c r="B252" s="1"/>
      <c r="C252" s="1"/>
      <c r="D252" s="1"/>
      <c r="E252" s="1"/>
      <c r="F252" s="1"/>
      <c r="G252" s="1"/>
      <c r="H252" s="1"/>
      <c r="I252" s="1"/>
      <c r="J252" s="1"/>
      <c r="K252" s="1"/>
      <c r="L252" s="1"/>
      <c r="M252" s="1"/>
      <c r="N252" s="1"/>
      <c r="O252" s="1"/>
      <c r="P252" s="1"/>
      <c r="Q252" s="1"/>
      <c r="R252" s="1"/>
      <c r="S252" s="1"/>
      <c r="T252" s="1"/>
      <c r="U252" s="5"/>
      <c r="V252" s="6"/>
      <c r="W252" s="6"/>
      <c r="X252" s="6"/>
      <c r="Y252" s="6"/>
      <c r="Z252" s="6"/>
      <c r="AA252" s="6"/>
      <c r="AB252" s="5"/>
      <c r="AC252" s="174"/>
      <c r="AD252" s="175"/>
    </row>
    <row r="253" hidden="1">
      <c r="A253" s="1"/>
      <c r="B253" s="1"/>
      <c r="C253" s="1"/>
      <c r="D253" s="1"/>
      <c r="E253" s="1"/>
      <c r="F253" s="1"/>
      <c r="G253" s="1"/>
      <c r="H253" s="1"/>
      <c r="I253" s="1"/>
      <c r="J253" s="1"/>
      <c r="K253" s="1"/>
      <c r="L253" s="1"/>
      <c r="M253" s="1"/>
      <c r="N253" s="1"/>
      <c r="O253" s="1"/>
      <c r="P253" s="1"/>
      <c r="Q253" s="1"/>
      <c r="R253" s="1"/>
      <c r="S253" s="1"/>
      <c r="T253" s="1"/>
      <c r="U253" s="5"/>
      <c r="V253" s="6"/>
      <c r="W253" s="6"/>
      <c r="X253" s="6"/>
      <c r="Y253" s="6"/>
      <c r="Z253" s="6"/>
      <c r="AA253" s="6"/>
      <c r="AB253" s="5"/>
      <c r="AC253" s="174"/>
      <c r="AD253" s="175"/>
    </row>
    <row r="254" hidden="1">
      <c r="A254" s="1"/>
      <c r="B254" s="1"/>
      <c r="C254" s="1"/>
      <c r="D254" s="1"/>
      <c r="E254" s="1"/>
      <c r="F254" s="1"/>
      <c r="G254" s="1"/>
      <c r="H254" s="1"/>
      <c r="I254" s="1"/>
      <c r="J254" s="1"/>
      <c r="K254" s="1"/>
      <c r="L254" s="1"/>
      <c r="M254" s="1"/>
      <c r="N254" s="1"/>
      <c r="O254" s="1"/>
      <c r="P254" s="1"/>
      <c r="Q254" s="1"/>
      <c r="R254" s="1"/>
      <c r="S254" s="1"/>
      <c r="T254" s="1"/>
      <c r="U254" s="5"/>
      <c r="V254" s="6"/>
      <c r="W254" s="6"/>
      <c r="X254" s="6"/>
      <c r="Y254" s="6"/>
      <c r="Z254" s="6"/>
      <c r="AA254" s="6"/>
      <c r="AB254" s="5"/>
      <c r="AC254" s="174"/>
      <c r="AD254" s="175"/>
    </row>
    <row r="255" hidden="1">
      <c r="A255" s="1"/>
      <c r="B255" s="1"/>
      <c r="C255" s="1"/>
      <c r="D255" s="1"/>
      <c r="E255" s="1"/>
      <c r="F255" s="1"/>
      <c r="G255" s="1"/>
      <c r="H255" s="1"/>
      <c r="I255" s="1"/>
      <c r="J255" s="1"/>
      <c r="K255" s="1"/>
      <c r="L255" s="1"/>
      <c r="M255" s="1"/>
      <c r="N255" s="1"/>
      <c r="O255" s="1"/>
      <c r="P255" s="1"/>
      <c r="Q255" s="1"/>
      <c r="R255" s="1"/>
      <c r="S255" s="1"/>
      <c r="T255" s="1"/>
      <c r="U255" s="5"/>
      <c r="V255" s="6"/>
      <c r="W255" s="6"/>
      <c r="X255" s="6"/>
      <c r="Y255" s="6"/>
      <c r="Z255" s="6"/>
      <c r="AA255" s="6"/>
      <c r="AB255" s="5"/>
      <c r="AC255" s="174"/>
      <c r="AD255" s="175"/>
    </row>
    <row r="256" hidden="1">
      <c r="A256" s="1"/>
      <c r="B256" s="1"/>
      <c r="C256" s="1"/>
      <c r="D256" s="1"/>
      <c r="E256" s="1"/>
      <c r="F256" s="1"/>
      <c r="G256" s="1"/>
      <c r="H256" s="1"/>
      <c r="I256" s="1"/>
      <c r="J256" s="1"/>
      <c r="K256" s="1"/>
      <c r="L256" s="1"/>
      <c r="M256" s="1"/>
      <c r="N256" s="1"/>
      <c r="O256" s="1"/>
      <c r="P256" s="1"/>
      <c r="Q256" s="1"/>
      <c r="R256" s="1"/>
      <c r="S256" s="1"/>
      <c r="T256" s="1"/>
      <c r="U256" s="5"/>
      <c r="V256" s="6"/>
      <c r="W256" s="6"/>
      <c r="X256" s="6"/>
      <c r="Y256" s="6"/>
      <c r="Z256" s="6"/>
      <c r="AA256" s="6"/>
      <c r="AB256" s="5"/>
      <c r="AC256" s="174"/>
      <c r="AD256" s="175"/>
    </row>
    <row r="257" hidden="1">
      <c r="A257" s="1"/>
      <c r="B257" s="1"/>
      <c r="C257" s="1"/>
      <c r="D257" s="1"/>
      <c r="E257" s="1"/>
      <c r="F257" s="1"/>
      <c r="G257" s="1"/>
      <c r="H257" s="1"/>
      <c r="I257" s="1"/>
      <c r="J257" s="1"/>
      <c r="K257" s="1"/>
      <c r="L257" s="1"/>
      <c r="M257" s="1"/>
      <c r="N257" s="1"/>
      <c r="O257" s="1"/>
      <c r="P257" s="1"/>
      <c r="Q257" s="1"/>
      <c r="R257" s="1"/>
      <c r="S257" s="1"/>
      <c r="T257" s="1"/>
      <c r="U257" s="5"/>
      <c r="V257" s="6"/>
      <c r="W257" s="6"/>
      <c r="X257" s="6"/>
      <c r="Y257" s="6"/>
      <c r="Z257" s="6"/>
      <c r="AA257" s="6"/>
      <c r="AB257" s="5"/>
      <c r="AC257" s="174"/>
      <c r="AD257" s="175"/>
    </row>
    <row r="258" hidden="1">
      <c r="A258" s="1"/>
      <c r="B258" s="1"/>
      <c r="C258" s="1"/>
      <c r="D258" s="1"/>
      <c r="E258" s="1"/>
      <c r="F258" s="1"/>
      <c r="G258" s="1"/>
      <c r="H258" s="1"/>
      <c r="I258" s="1"/>
      <c r="J258" s="1"/>
      <c r="K258" s="1"/>
      <c r="L258" s="1"/>
      <c r="M258" s="1"/>
      <c r="N258" s="1"/>
      <c r="O258" s="1"/>
      <c r="P258" s="1"/>
      <c r="Q258" s="1"/>
      <c r="R258" s="1"/>
      <c r="S258" s="1"/>
      <c r="T258" s="1"/>
      <c r="U258" s="5"/>
      <c r="V258" s="6"/>
      <c r="W258" s="6"/>
      <c r="X258" s="6"/>
      <c r="Y258" s="6"/>
      <c r="Z258" s="6"/>
      <c r="AA258" s="6"/>
      <c r="AB258" s="5"/>
      <c r="AC258" s="174"/>
      <c r="AD258" s="175"/>
    </row>
    <row r="259" hidden="1">
      <c r="A259" s="1"/>
      <c r="B259" s="1"/>
      <c r="C259" s="1"/>
      <c r="D259" s="1"/>
      <c r="E259" s="1"/>
      <c r="F259" s="1"/>
      <c r="G259" s="1"/>
      <c r="H259" s="1"/>
      <c r="I259" s="1"/>
      <c r="J259" s="1"/>
      <c r="K259" s="1"/>
      <c r="L259" s="1"/>
      <c r="M259" s="1"/>
      <c r="N259" s="1"/>
      <c r="O259" s="1"/>
      <c r="P259" s="1"/>
      <c r="Q259" s="1"/>
      <c r="R259" s="1"/>
      <c r="S259" s="1"/>
      <c r="T259" s="1"/>
      <c r="U259" s="5"/>
      <c r="V259" s="6"/>
      <c r="W259" s="6"/>
      <c r="X259" s="6"/>
      <c r="Y259" s="6"/>
      <c r="Z259" s="6"/>
      <c r="AA259" s="6"/>
      <c r="AB259" s="5"/>
      <c r="AC259" s="174"/>
      <c r="AD259" s="175"/>
    </row>
    <row r="260" hidden="1">
      <c r="A260" s="1"/>
      <c r="B260" s="1"/>
      <c r="C260" s="1"/>
      <c r="D260" s="1"/>
      <c r="E260" s="1"/>
      <c r="F260" s="1"/>
      <c r="G260" s="1"/>
      <c r="H260" s="1"/>
      <c r="I260" s="1"/>
      <c r="J260" s="1"/>
      <c r="K260" s="1"/>
      <c r="L260" s="1"/>
      <c r="M260" s="1"/>
      <c r="N260" s="1"/>
      <c r="O260" s="1"/>
      <c r="P260" s="1"/>
      <c r="Q260" s="1"/>
      <c r="R260" s="1"/>
      <c r="S260" s="1"/>
      <c r="T260" s="1"/>
      <c r="U260" s="5"/>
      <c r="V260" s="6"/>
      <c r="W260" s="6"/>
      <c r="X260" s="6"/>
      <c r="Y260" s="6"/>
      <c r="Z260" s="6"/>
      <c r="AA260" s="6"/>
      <c r="AB260" s="5"/>
      <c r="AC260" s="174"/>
      <c r="AD260" s="175"/>
    </row>
    <row r="261" hidden="1">
      <c r="A261" s="1"/>
      <c r="B261" s="1"/>
      <c r="C261" s="1"/>
      <c r="D261" s="1"/>
      <c r="E261" s="1"/>
      <c r="F261" s="1"/>
      <c r="G261" s="1"/>
      <c r="H261" s="1"/>
      <c r="I261" s="1"/>
      <c r="J261" s="1"/>
      <c r="K261" s="1"/>
      <c r="L261" s="1"/>
      <c r="M261" s="1"/>
      <c r="N261" s="1"/>
      <c r="O261" s="1"/>
      <c r="P261" s="1"/>
      <c r="Q261" s="1"/>
      <c r="R261" s="1"/>
      <c r="S261" s="1"/>
      <c r="T261" s="1"/>
      <c r="U261" s="5"/>
      <c r="V261" s="6"/>
      <c r="W261" s="6"/>
      <c r="X261" s="6"/>
      <c r="Y261" s="6"/>
      <c r="Z261" s="6"/>
      <c r="AA261" s="6"/>
      <c r="AB261" s="5"/>
      <c r="AC261" s="174"/>
      <c r="AD261" s="175"/>
    </row>
    <row r="262" hidden="1">
      <c r="A262" s="1"/>
      <c r="B262" s="1"/>
      <c r="C262" s="1"/>
      <c r="D262" s="1"/>
      <c r="E262" s="1"/>
      <c r="F262" s="1"/>
      <c r="G262" s="1"/>
      <c r="H262" s="1"/>
      <c r="I262" s="1"/>
      <c r="J262" s="1"/>
      <c r="K262" s="1"/>
      <c r="L262" s="1"/>
      <c r="M262" s="1"/>
      <c r="N262" s="1"/>
      <c r="O262" s="1"/>
      <c r="P262" s="1"/>
      <c r="Q262" s="1"/>
      <c r="R262" s="1"/>
      <c r="S262" s="1"/>
      <c r="T262" s="1"/>
      <c r="U262" s="5"/>
      <c r="V262" s="6"/>
      <c r="W262" s="6"/>
      <c r="X262" s="6"/>
      <c r="Y262" s="6"/>
      <c r="Z262" s="6"/>
      <c r="AA262" s="6"/>
      <c r="AB262" s="5"/>
      <c r="AC262" s="174"/>
      <c r="AD262" s="175"/>
    </row>
    <row r="263" hidden="1">
      <c r="A263" s="1"/>
      <c r="B263" s="1"/>
      <c r="C263" s="1"/>
      <c r="D263" s="1"/>
      <c r="E263" s="1"/>
      <c r="F263" s="1"/>
      <c r="G263" s="1"/>
      <c r="H263" s="1"/>
      <c r="I263" s="1"/>
      <c r="J263" s="1"/>
      <c r="K263" s="1"/>
      <c r="L263" s="1"/>
      <c r="M263" s="1"/>
      <c r="N263" s="1"/>
      <c r="O263" s="1"/>
      <c r="P263" s="1"/>
      <c r="Q263" s="1"/>
      <c r="R263" s="1"/>
      <c r="S263" s="1"/>
      <c r="T263" s="1"/>
      <c r="U263" s="5"/>
      <c r="V263" s="6"/>
      <c r="W263" s="6"/>
      <c r="X263" s="6"/>
      <c r="Y263" s="6"/>
      <c r="Z263" s="6"/>
      <c r="AA263" s="6"/>
      <c r="AB263" s="5"/>
      <c r="AC263" s="174"/>
      <c r="AD263" s="175"/>
    </row>
    <row r="264" hidden="1">
      <c r="A264" s="1"/>
      <c r="B264" s="1"/>
      <c r="C264" s="1"/>
      <c r="D264" s="1"/>
      <c r="E264" s="1"/>
      <c r="F264" s="1"/>
      <c r="G264" s="1"/>
      <c r="H264" s="1"/>
      <c r="I264" s="1"/>
      <c r="J264" s="1"/>
      <c r="K264" s="1"/>
      <c r="L264" s="1"/>
      <c r="M264" s="1"/>
      <c r="N264" s="1"/>
      <c r="O264" s="1"/>
      <c r="P264" s="1"/>
      <c r="Q264" s="1"/>
      <c r="R264" s="1"/>
      <c r="S264" s="1"/>
      <c r="T264" s="1"/>
      <c r="U264" s="5"/>
      <c r="V264" s="6"/>
      <c r="W264" s="6"/>
      <c r="X264" s="6"/>
      <c r="Y264" s="6"/>
      <c r="Z264" s="6"/>
      <c r="AA264" s="6"/>
      <c r="AB264" s="5"/>
      <c r="AC264" s="174"/>
      <c r="AD264" s="175"/>
    </row>
    <row r="265" hidden="1">
      <c r="A265" s="1"/>
      <c r="B265" s="1"/>
      <c r="C265" s="1"/>
      <c r="D265" s="1"/>
      <c r="E265" s="1"/>
      <c r="F265" s="1"/>
      <c r="G265" s="1"/>
      <c r="H265" s="1"/>
      <c r="I265" s="1"/>
      <c r="J265" s="1"/>
      <c r="K265" s="1"/>
      <c r="L265" s="1"/>
      <c r="M265" s="1"/>
      <c r="N265" s="1"/>
      <c r="O265" s="1"/>
      <c r="P265" s="1"/>
      <c r="Q265" s="1"/>
      <c r="R265" s="1"/>
      <c r="S265" s="1"/>
      <c r="T265" s="1"/>
      <c r="U265" s="5"/>
      <c r="V265" s="6"/>
      <c r="W265" s="6"/>
      <c r="X265" s="6"/>
      <c r="Y265" s="6"/>
      <c r="Z265" s="6"/>
      <c r="AA265" s="6"/>
      <c r="AB265" s="5"/>
      <c r="AC265" s="174"/>
      <c r="AD265" s="175"/>
    </row>
    <row r="266" hidden="1">
      <c r="A266" s="1"/>
      <c r="B266" s="1"/>
      <c r="C266" s="1"/>
      <c r="D266" s="1"/>
      <c r="E266" s="1"/>
      <c r="F266" s="1"/>
      <c r="G266" s="1"/>
      <c r="H266" s="1"/>
      <c r="I266" s="1"/>
      <c r="J266" s="1"/>
      <c r="K266" s="1"/>
      <c r="L266" s="1"/>
      <c r="M266" s="1"/>
      <c r="N266" s="1"/>
      <c r="O266" s="1"/>
      <c r="P266" s="1"/>
      <c r="Q266" s="1"/>
      <c r="R266" s="1"/>
      <c r="S266" s="1"/>
      <c r="T266" s="1"/>
      <c r="U266" s="5"/>
      <c r="V266" s="6"/>
      <c r="W266" s="6"/>
      <c r="X266" s="6"/>
      <c r="Y266" s="6"/>
      <c r="Z266" s="6"/>
      <c r="AA266" s="6"/>
      <c r="AB266" s="5"/>
      <c r="AC266" s="174"/>
      <c r="AD266" s="175"/>
    </row>
    <row r="267" hidden="1">
      <c r="A267" s="1"/>
      <c r="B267" s="1"/>
      <c r="C267" s="1"/>
      <c r="D267" s="1"/>
      <c r="E267" s="1"/>
      <c r="F267" s="1"/>
      <c r="G267" s="1"/>
      <c r="H267" s="1"/>
      <c r="I267" s="1"/>
      <c r="J267" s="1"/>
      <c r="K267" s="1"/>
      <c r="L267" s="1"/>
      <c r="M267" s="1"/>
      <c r="N267" s="1"/>
      <c r="O267" s="1"/>
      <c r="P267" s="1"/>
      <c r="Q267" s="1"/>
      <c r="R267" s="1"/>
      <c r="S267" s="1"/>
      <c r="T267" s="1"/>
      <c r="U267" s="5"/>
      <c r="V267" s="6"/>
      <c r="W267" s="6"/>
      <c r="X267" s="6"/>
      <c r="Y267" s="6"/>
      <c r="Z267" s="6"/>
      <c r="AA267" s="6"/>
      <c r="AB267" s="5"/>
      <c r="AC267" s="174"/>
      <c r="AD267" s="175"/>
    </row>
    <row r="268" hidden="1">
      <c r="A268" s="1"/>
      <c r="B268" s="1"/>
      <c r="C268" s="1"/>
      <c r="D268" s="1"/>
      <c r="E268" s="1"/>
      <c r="F268" s="1"/>
      <c r="G268" s="1"/>
      <c r="H268" s="1"/>
      <c r="I268" s="1"/>
      <c r="J268" s="1"/>
      <c r="K268" s="1"/>
      <c r="L268" s="1"/>
      <c r="M268" s="1"/>
      <c r="N268" s="1"/>
      <c r="O268" s="1"/>
      <c r="P268" s="1"/>
      <c r="Q268" s="1"/>
      <c r="R268" s="1"/>
      <c r="S268" s="1"/>
      <c r="T268" s="1"/>
      <c r="U268" s="5"/>
      <c r="V268" s="6"/>
      <c r="W268" s="6"/>
      <c r="X268" s="6"/>
      <c r="Y268" s="6"/>
      <c r="Z268" s="6"/>
      <c r="AA268" s="6"/>
      <c r="AB268" s="5"/>
      <c r="AC268" s="174"/>
      <c r="AD268" s="175"/>
    </row>
    <row r="269" hidden="1">
      <c r="A269" s="1"/>
      <c r="B269" s="1"/>
      <c r="C269" s="1"/>
      <c r="D269" s="1"/>
      <c r="E269" s="1"/>
      <c r="F269" s="1"/>
      <c r="G269" s="1"/>
      <c r="H269" s="1"/>
      <c r="I269" s="1"/>
      <c r="J269" s="1"/>
      <c r="K269" s="1"/>
      <c r="L269" s="1"/>
      <c r="M269" s="1"/>
      <c r="N269" s="1"/>
      <c r="O269" s="1"/>
      <c r="P269" s="1"/>
      <c r="Q269" s="1"/>
      <c r="R269" s="1"/>
      <c r="S269" s="1"/>
      <c r="T269" s="1"/>
      <c r="U269" s="5"/>
      <c r="V269" s="6"/>
      <c r="W269" s="6"/>
      <c r="X269" s="6"/>
      <c r="Y269" s="6"/>
      <c r="Z269" s="6"/>
      <c r="AA269" s="6"/>
      <c r="AB269" s="5"/>
      <c r="AC269" s="174"/>
      <c r="AD269" s="175"/>
    </row>
    <row r="270" hidden="1">
      <c r="A270" s="1"/>
      <c r="B270" s="1"/>
      <c r="C270" s="1"/>
      <c r="D270" s="1"/>
      <c r="E270" s="1"/>
      <c r="F270" s="1"/>
      <c r="G270" s="1"/>
      <c r="H270" s="1"/>
      <c r="I270" s="1"/>
      <c r="J270" s="1"/>
      <c r="K270" s="1"/>
      <c r="L270" s="1"/>
      <c r="M270" s="1"/>
      <c r="N270" s="1"/>
      <c r="O270" s="1"/>
      <c r="P270" s="1"/>
      <c r="Q270" s="1"/>
      <c r="R270" s="1"/>
      <c r="S270" s="1"/>
      <c r="T270" s="1"/>
      <c r="U270" s="5"/>
      <c r="V270" s="6"/>
      <c r="W270" s="6"/>
      <c r="X270" s="6"/>
      <c r="Y270" s="6"/>
      <c r="Z270" s="6"/>
      <c r="AA270" s="6"/>
      <c r="AB270" s="5"/>
      <c r="AC270" s="174"/>
      <c r="AD270" s="175"/>
    </row>
    <row r="271" hidden="1">
      <c r="A271" s="1"/>
      <c r="B271" s="1"/>
      <c r="C271" s="1"/>
      <c r="D271" s="1"/>
      <c r="E271" s="1"/>
      <c r="F271" s="1"/>
      <c r="G271" s="1"/>
      <c r="H271" s="1"/>
      <c r="I271" s="1"/>
      <c r="J271" s="1"/>
      <c r="K271" s="1"/>
      <c r="L271" s="1"/>
      <c r="M271" s="1"/>
      <c r="N271" s="1"/>
      <c r="O271" s="1"/>
      <c r="P271" s="1"/>
      <c r="Q271" s="1"/>
      <c r="R271" s="1"/>
      <c r="S271" s="1"/>
      <c r="T271" s="1"/>
      <c r="U271" s="5"/>
      <c r="V271" s="6"/>
      <c r="W271" s="6"/>
      <c r="X271" s="6"/>
      <c r="Y271" s="6"/>
      <c r="Z271" s="6"/>
      <c r="AA271" s="6"/>
      <c r="AB271" s="5"/>
      <c r="AC271" s="174"/>
      <c r="AD271" s="175"/>
    </row>
    <row r="272" hidden="1">
      <c r="A272" s="1"/>
      <c r="B272" s="1"/>
      <c r="C272" s="1"/>
      <c r="D272" s="1"/>
      <c r="E272" s="1"/>
      <c r="F272" s="1"/>
      <c r="G272" s="1"/>
      <c r="H272" s="1"/>
      <c r="I272" s="1"/>
      <c r="J272" s="1"/>
      <c r="K272" s="1"/>
      <c r="L272" s="1"/>
      <c r="M272" s="1"/>
      <c r="N272" s="1"/>
      <c r="O272" s="1"/>
      <c r="P272" s="1"/>
      <c r="Q272" s="1"/>
      <c r="R272" s="1"/>
      <c r="S272" s="1"/>
      <c r="T272" s="1"/>
      <c r="U272" s="5"/>
      <c r="V272" s="6"/>
      <c r="W272" s="6"/>
      <c r="X272" s="6"/>
      <c r="Y272" s="6"/>
      <c r="Z272" s="6"/>
      <c r="AA272" s="6"/>
      <c r="AB272" s="5"/>
      <c r="AC272" s="174"/>
      <c r="AD272" s="175"/>
    </row>
    <row r="273" hidden="1">
      <c r="A273" s="1"/>
      <c r="B273" s="1"/>
      <c r="C273" s="1"/>
      <c r="D273" s="1"/>
      <c r="E273" s="1"/>
      <c r="F273" s="1"/>
      <c r="G273" s="1"/>
      <c r="H273" s="1"/>
      <c r="I273" s="1"/>
      <c r="J273" s="1"/>
      <c r="K273" s="1"/>
      <c r="L273" s="1"/>
      <c r="M273" s="1"/>
      <c r="N273" s="1"/>
      <c r="O273" s="1"/>
      <c r="P273" s="1"/>
      <c r="Q273" s="1"/>
      <c r="R273" s="1"/>
      <c r="S273" s="1"/>
      <c r="T273" s="1"/>
      <c r="U273" s="5"/>
      <c r="V273" s="6"/>
      <c r="W273" s="6"/>
      <c r="X273" s="6"/>
      <c r="Y273" s="6"/>
      <c r="Z273" s="6"/>
      <c r="AA273" s="6"/>
      <c r="AB273" s="5"/>
      <c r="AC273" s="174"/>
      <c r="AD273" s="175"/>
    </row>
    <row r="274" hidden="1">
      <c r="A274" s="1"/>
      <c r="B274" s="1"/>
      <c r="C274" s="1"/>
      <c r="D274" s="1"/>
      <c r="E274" s="1"/>
      <c r="F274" s="1"/>
      <c r="G274" s="1"/>
      <c r="H274" s="1"/>
      <c r="I274" s="1"/>
      <c r="J274" s="1"/>
      <c r="K274" s="1"/>
      <c r="L274" s="1"/>
      <c r="M274" s="1"/>
      <c r="N274" s="1"/>
      <c r="O274" s="1"/>
      <c r="P274" s="1"/>
      <c r="Q274" s="1"/>
      <c r="R274" s="1"/>
      <c r="S274" s="1"/>
      <c r="T274" s="1"/>
      <c r="U274" s="5"/>
      <c r="V274" s="6"/>
      <c r="W274" s="6"/>
      <c r="X274" s="6"/>
      <c r="Y274" s="6"/>
      <c r="Z274" s="6"/>
      <c r="AA274" s="6"/>
      <c r="AB274" s="5"/>
      <c r="AC274" s="174"/>
      <c r="AD274" s="175"/>
    </row>
    <row r="275" hidden="1">
      <c r="A275" s="1"/>
      <c r="B275" s="1"/>
      <c r="C275" s="1"/>
      <c r="D275" s="1"/>
      <c r="E275" s="1"/>
      <c r="F275" s="1"/>
      <c r="G275" s="1"/>
      <c r="H275" s="1"/>
      <c r="I275" s="1"/>
      <c r="J275" s="1"/>
      <c r="K275" s="1"/>
      <c r="L275" s="1"/>
      <c r="M275" s="1"/>
      <c r="N275" s="1"/>
      <c r="O275" s="1"/>
      <c r="P275" s="1"/>
      <c r="Q275" s="1"/>
      <c r="R275" s="1"/>
      <c r="S275" s="1"/>
      <c r="T275" s="1"/>
      <c r="U275" s="5"/>
      <c r="V275" s="6"/>
      <c r="W275" s="6"/>
      <c r="X275" s="6"/>
      <c r="Y275" s="6"/>
      <c r="Z275" s="6"/>
      <c r="AA275" s="6"/>
      <c r="AB275" s="5"/>
      <c r="AC275" s="174"/>
      <c r="AD275" s="175"/>
    </row>
    <row r="276" hidden="1">
      <c r="A276" s="1"/>
      <c r="B276" s="1"/>
      <c r="C276" s="1"/>
      <c r="D276" s="1"/>
      <c r="E276" s="1"/>
      <c r="F276" s="1"/>
      <c r="G276" s="1"/>
      <c r="H276" s="1"/>
      <c r="I276" s="1"/>
      <c r="J276" s="1"/>
      <c r="K276" s="1"/>
      <c r="L276" s="1"/>
      <c r="M276" s="1"/>
      <c r="N276" s="1"/>
      <c r="O276" s="1"/>
      <c r="P276" s="1"/>
      <c r="Q276" s="1"/>
      <c r="R276" s="1"/>
      <c r="S276" s="1"/>
      <c r="T276" s="1"/>
      <c r="U276" s="5"/>
      <c r="V276" s="6"/>
      <c r="W276" s="6"/>
      <c r="X276" s="6"/>
      <c r="Y276" s="6"/>
      <c r="Z276" s="6"/>
      <c r="AA276" s="6"/>
      <c r="AB276" s="5"/>
      <c r="AC276" s="174"/>
      <c r="AD276" s="175"/>
    </row>
    <row r="277" hidden="1">
      <c r="A277" s="1"/>
      <c r="B277" s="1"/>
      <c r="C277" s="1"/>
      <c r="D277" s="1"/>
      <c r="E277" s="1"/>
      <c r="F277" s="1"/>
      <c r="G277" s="1"/>
      <c r="H277" s="1"/>
      <c r="I277" s="1"/>
      <c r="J277" s="1"/>
      <c r="K277" s="1"/>
      <c r="L277" s="1"/>
      <c r="M277" s="1"/>
      <c r="N277" s="1"/>
      <c r="O277" s="1"/>
      <c r="P277" s="1"/>
      <c r="Q277" s="1"/>
      <c r="R277" s="1"/>
      <c r="S277" s="1"/>
      <c r="T277" s="1"/>
      <c r="U277" s="5"/>
      <c r="V277" s="6"/>
      <c r="W277" s="6"/>
      <c r="X277" s="6"/>
      <c r="Y277" s="6"/>
      <c r="Z277" s="6"/>
      <c r="AA277" s="6"/>
      <c r="AB277" s="5"/>
      <c r="AC277" s="174"/>
      <c r="AD277" s="175"/>
    </row>
    <row r="278" hidden="1">
      <c r="A278" s="1"/>
      <c r="B278" s="1"/>
      <c r="C278" s="1"/>
      <c r="D278" s="1"/>
      <c r="E278" s="1"/>
      <c r="F278" s="1"/>
      <c r="G278" s="1"/>
      <c r="H278" s="1"/>
      <c r="I278" s="1"/>
      <c r="J278" s="1"/>
      <c r="K278" s="1"/>
      <c r="L278" s="1"/>
      <c r="M278" s="1"/>
      <c r="N278" s="1"/>
      <c r="O278" s="1"/>
      <c r="P278" s="1"/>
      <c r="Q278" s="1"/>
      <c r="R278" s="1"/>
      <c r="S278" s="1"/>
      <c r="T278" s="1"/>
      <c r="U278" s="5"/>
      <c r="V278" s="6"/>
      <c r="W278" s="6"/>
      <c r="X278" s="6"/>
      <c r="Y278" s="6"/>
      <c r="Z278" s="6"/>
      <c r="AA278" s="6"/>
      <c r="AB278" s="5"/>
      <c r="AC278" s="174"/>
      <c r="AD278" s="175"/>
    </row>
    <row r="279" hidden="1">
      <c r="A279" s="1"/>
      <c r="B279" s="1"/>
      <c r="C279" s="1"/>
      <c r="D279" s="1"/>
      <c r="E279" s="1"/>
      <c r="F279" s="1"/>
      <c r="G279" s="1"/>
      <c r="H279" s="1"/>
      <c r="I279" s="1"/>
      <c r="J279" s="1"/>
      <c r="K279" s="1"/>
      <c r="L279" s="1"/>
      <c r="M279" s="1"/>
      <c r="N279" s="1"/>
      <c r="O279" s="1"/>
      <c r="P279" s="1"/>
      <c r="Q279" s="1"/>
      <c r="R279" s="1"/>
      <c r="S279" s="1"/>
      <c r="T279" s="1"/>
      <c r="U279" s="5"/>
      <c r="V279" s="6"/>
      <c r="W279" s="6"/>
      <c r="X279" s="6"/>
      <c r="Y279" s="6"/>
      <c r="Z279" s="6"/>
      <c r="AA279" s="6"/>
      <c r="AB279" s="5"/>
      <c r="AC279" s="174"/>
      <c r="AD279" s="175"/>
    </row>
    <row r="280" hidden="1">
      <c r="A280" s="1"/>
      <c r="B280" s="1"/>
      <c r="C280" s="1"/>
      <c r="D280" s="1"/>
      <c r="E280" s="1"/>
      <c r="F280" s="1"/>
      <c r="G280" s="1"/>
      <c r="H280" s="1"/>
      <c r="I280" s="1"/>
      <c r="J280" s="1"/>
      <c r="K280" s="1"/>
      <c r="L280" s="1"/>
      <c r="M280" s="1"/>
      <c r="N280" s="1"/>
      <c r="O280" s="1"/>
      <c r="P280" s="1"/>
      <c r="Q280" s="1"/>
      <c r="R280" s="1"/>
      <c r="S280" s="1"/>
      <c r="T280" s="1"/>
      <c r="U280" s="5"/>
      <c r="V280" s="6"/>
      <c r="W280" s="6"/>
      <c r="X280" s="6"/>
      <c r="Y280" s="6"/>
      <c r="Z280" s="6"/>
      <c r="AA280" s="6"/>
      <c r="AB280" s="5"/>
      <c r="AC280" s="174"/>
      <c r="AD280" s="175"/>
    </row>
    <row r="281" hidden="1">
      <c r="A281" s="1"/>
      <c r="B281" s="1"/>
      <c r="C281" s="1"/>
      <c r="D281" s="1"/>
      <c r="E281" s="1"/>
      <c r="F281" s="1"/>
      <c r="G281" s="1"/>
      <c r="H281" s="1"/>
      <c r="I281" s="1"/>
      <c r="J281" s="1"/>
      <c r="K281" s="1"/>
      <c r="L281" s="1"/>
      <c r="M281" s="1"/>
      <c r="N281" s="1"/>
      <c r="O281" s="1"/>
      <c r="P281" s="1"/>
      <c r="Q281" s="1"/>
      <c r="R281" s="1"/>
      <c r="S281" s="1"/>
      <c r="T281" s="1"/>
      <c r="U281" s="5"/>
      <c r="V281" s="6"/>
      <c r="W281" s="6"/>
      <c r="X281" s="6"/>
      <c r="Y281" s="6"/>
      <c r="Z281" s="6"/>
      <c r="AA281" s="6"/>
      <c r="AB281" s="5"/>
      <c r="AC281" s="174"/>
      <c r="AD281" s="175"/>
    </row>
    <row r="282" hidden="1">
      <c r="A282" s="1"/>
      <c r="B282" s="1"/>
      <c r="C282" s="1"/>
      <c r="D282" s="1"/>
      <c r="E282" s="1"/>
      <c r="F282" s="1"/>
      <c r="G282" s="1"/>
      <c r="H282" s="1"/>
      <c r="I282" s="1"/>
      <c r="J282" s="1"/>
      <c r="K282" s="1"/>
      <c r="L282" s="1"/>
      <c r="M282" s="1"/>
      <c r="N282" s="1"/>
      <c r="O282" s="1"/>
      <c r="P282" s="1"/>
      <c r="Q282" s="1"/>
      <c r="R282" s="1"/>
      <c r="S282" s="1"/>
      <c r="T282" s="1"/>
      <c r="U282" s="5"/>
      <c r="V282" s="6"/>
      <c r="W282" s="6"/>
      <c r="X282" s="6"/>
      <c r="Y282" s="6"/>
      <c r="Z282" s="6"/>
      <c r="AA282" s="6"/>
      <c r="AB282" s="5"/>
      <c r="AC282" s="174"/>
      <c r="AD282" s="175"/>
    </row>
    <row r="283" hidden="1">
      <c r="A283" s="1"/>
      <c r="B283" s="1"/>
      <c r="C283" s="1"/>
      <c r="D283" s="1"/>
      <c r="E283" s="1"/>
      <c r="F283" s="1"/>
      <c r="G283" s="1"/>
      <c r="H283" s="1"/>
      <c r="I283" s="1"/>
      <c r="J283" s="1"/>
      <c r="K283" s="1"/>
      <c r="L283" s="1"/>
      <c r="M283" s="1"/>
      <c r="N283" s="1"/>
      <c r="O283" s="1"/>
      <c r="P283" s="1"/>
      <c r="Q283" s="1"/>
      <c r="R283" s="1"/>
      <c r="S283" s="1"/>
      <c r="T283" s="1"/>
      <c r="U283" s="5"/>
      <c r="V283" s="6"/>
      <c r="W283" s="6"/>
      <c r="X283" s="6"/>
      <c r="Y283" s="6"/>
      <c r="Z283" s="6"/>
      <c r="AA283" s="6"/>
      <c r="AB283" s="5"/>
      <c r="AC283" s="174"/>
      <c r="AD283" s="175"/>
    </row>
    <row r="284" hidden="1">
      <c r="A284" s="1"/>
      <c r="B284" s="1"/>
      <c r="C284" s="1"/>
      <c r="D284" s="1"/>
      <c r="E284" s="1"/>
      <c r="F284" s="1"/>
      <c r="G284" s="1"/>
      <c r="H284" s="1"/>
      <c r="I284" s="1"/>
      <c r="J284" s="1"/>
      <c r="K284" s="1"/>
      <c r="L284" s="1"/>
      <c r="M284" s="1"/>
      <c r="N284" s="1"/>
      <c r="O284" s="1"/>
      <c r="P284" s="1"/>
      <c r="Q284" s="1"/>
      <c r="R284" s="1"/>
      <c r="S284" s="1"/>
      <c r="T284" s="1"/>
      <c r="U284" s="5"/>
      <c r="V284" s="6"/>
      <c r="W284" s="6"/>
      <c r="X284" s="6"/>
      <c r="Y284" s="6"/>
      <c r="Z284" s="6"/>
      <c r="AA284" s="6"/>
      <c r="AB284" s="5"/>
      <c r="AC284" s="174"/>
      <c r="AD284" s="175"/>
    </row>
    <row r="285" hidden="1">
      <c r="A285" s="1"/>
      <c r="B285" s="1"/>
      <c r="C285" s="1"/>
      <c r="D285" s="1"/>
      <c r="E285" s="1"/>
      <c r="F285" s="1"/>
      <c r="G285" s="1"/>
      <c r="H285" s="1"/>
      <c r="I285" s="1"/>
      <c r="J285" s="1"/>
      <c r="K285" s="1"/>
      <c r="L285" s="1"/>
      <c r="M285" s="1"/>
      <c r="N285" s="1"/>
      <c r="O285" s="1"/>
      <c r="P285" s="1"/>
      <c r="Q285" s="1"/>
      <c r="R285" s="1"/>
      <c r="S285" s="1"/>
      <c r="T285" s="1"/>
      <c r="U285" s="5"/>
      <c r="V285" s="6"/>
      <c r="W285" s="6"/>
      <c r="X285" s="6"/>
      <c r="Y285" s="6"/>
      <c r="Z285" s="6"/>
      <c r="AA285" s="6"/>
      <c r="AB285" s="5"/>
      <c r="AC285" s="174"/>
      <c r="AD285" s="175"/>
    </row>
    <row r="286" hidden="1">
      <c r="A286" s="1"/>
      <c r="B286" s="1"/>
      <c r="C286" s="1"/>
      <c r="D286" s="1"/>
      <c r="E286" s="1"/>
      <c r="F286" s="1"/>
      <c r="G286" s="1"/>
      <c r="H286" s="1"/>
      <c r="I286" s="1"/>
      <c r="J286" s="1"/>
      <c r="K286" s="1"/>
      <c r="L286" s="1"/>
      <c r="M286" s="1"/>
      <c r="N286" s="1"/>
      <c r="O286" s="1"/>
      <c r="P286" s="1"/>
      <c r="Q286" s="1"/>
      <c r="R286" s="1"/>
      <c r="S286" s="1"/>
      <c r="T286" s="1"/>
      <c r="U286" s="5"/>
      <c r="V286" s="6"/>
      <c r="W286" s="6"/>
      <c r="X286" s="6"/>
      <c r="Y286" s="6"/>
      <c r="Z286" s="6"/>
      <c r="AA286" s="6"/>
      <c r="AB286" s="5"/>
      <c r="AC286" s="174"/>
      <c r="AD286" s="175"/>
    </row>
    <row r="287" hidden="1">
      <c r="A287" s="1"/>
      <c r="B287" s="1"/>
      <c r="C287" s="1"/>
      <c r="D287" s="1"/>
      <c r="E287" s="1"/>
      <c r="F287" s="1"/>
      <c r="G287" s="1"/>
      <c r="H287" s="1"/>
      <c r="I287" s="1"/>
      <c r="J287" s="1"/>
      <c r="K287" s="1"/>
      <c r="L287" s="1"/>
      <c r="M287" s="1"/>
      <c r="N287" s="1"/>
      <c r="O287" s="1"/>
      <c r="P287" s="1"/>
      <c r="Q287" s="1"/>
      <c r="R287" s="1"/>
      <c r="S287" s="1"/>
      <c r="T287" s="1"/>
      <c r="U287" s="5"/>
      <c r="V287" s="6"/>
      <c r="W287" s="6"/>
      <c r="X287" s="6"/>
      <c r="Y287" s="6"/>
      <c r="Z287" s="6"/>
      <c r="AA287" s="6"/>
      <c r="AB287" s="5"/>
      <c r="AC287" s="174"/>
      <c r="AD287" s="175"/>
    </row>
    <row r="288" hidden="1">
      <c r="A288" s="1"/>
      <c r="B288" s="1"/>
      <c r="C288" s="1"/>
      <c r="D288" s="1"/>
      <c r="E288" s="1"/>
      <c r="F288" s="1"/>
      <c r="G288" s="1"/>
      <c r="H288" s="1"/>
      <c r="I288" s="1"/>
      <c r="J288" s="1"/>
      <c r="K288" s="1"/>
      <c r="L288" s="1"/>
      <c r="M288" s="1"/>
      <c r="N288" s="1"/>
      <c r="O288" s="1"/>
      <c r="P288" s="1"/>
      <c r="Q288" s="1"/>
      <c r="R288" s="1"/>
      <c r="S288" s="1"/>
      <c r="T288" s="1"/>
      <c r="U288" s="5"/>
      <c r="V288" s="6"/>
      <c r="W288" s="6"/>
      <c r="X288" s="6"/>
      <c r="Y288" s="6"/>
      <c r="Z288" s="6"/>
      <c r="AA288" s="6"/>
      <c r="AB288" s="5"/>
      <c r="AC288" s="174"/>
      <c r="AD288" s="175"/>
    </row>
    <row r="289" hidden="1">
      <c r="A289" s="1"/>
      <c r="B289" s="1"/>
      <c r="C289" s="1"/>
      <c r="D289" s="1"/>
      <c r="E289" s="1"/>
      <c r="F289" s="1"/>
      <c r="G289" s="1"/>
      <c r="H289" s="1"/>
      <c r="I289" s="1"/>
      <c r="J289" s="1"/>
      <c r="K289" s="1"/>
      <c r="L289" s="1"/>
      <c r="M289" s="1"/>
      <c r="N289" s="1"/>
      <c r="O289" s="1"/>
      <c r="P289" s="1"/>
      <c r="Q289" s="1"/>
      <c r="R289" s="1"/>
      <c r="S289" s="1"/>
      <c r="T289" s="1"/>
      <c r="U289" s="5"/>
      <c r="V289" s="6"/>
      <c r="W289" s="6"/>
      <c r="X289" s="6"/>
      <c r="Y289" s="6"/>
      <c r="Z289" s="6"/>
      <c r="AA289" s="6"/>
      <c r="AB289" s="5"/>
      <c r="AC289" s="174"/>
      <c r="AD289" s="175"/>
    </row>
    <row r="290" hidden="1">
      <c r="A290" s="1"/>
      <c r="B290" s="1"/>
      <c r="C290" s="1"/>
      <c r="D290" s="1"/>
      <c r="E290" s="1"/>
      <c r="F290" s="1"/>
      <c r="G290" s="1"/>
      <c r="H290" s="1"/>
      <c r="I290" s="1"/>
      <c r="J290" s="1"/>
      <c r="K290" s="1"/>
      <c r="L290" s="1"/>
      <c r="M290" s="1"/>
      <c r="N290" s="1"/>
      <c r="O290" s="1"/>
      <c r="P290" s="1"/>
      <c r="Q290" s="1"/>
      <c r="R290" s="1"/>
      <c r="S290" s="1"/>
      <c r="T290" s="1"/>
      <c r="U290" s="5"/>
      <c r="V290" s="6"/>
      <c r="W290" s="6"/>
      <c r="X290" s="6"/>
      <c r="Y290" s="6"/>
      <c r="Z290" s="6"/>
      <c r="AA290" s="6"/>
      <c r="AB290" s="5"/>
      <c r="AC290" s="174"/>
      <c r="AD290" s="175"/>
    </row>
    <row r="291" hidden="1">
      <c r="A291" s="1"/>
      <c r="B291" s="1"/>
      <c r="C291" s="1"/>
      <c r="D291" s="1"/>
      <c r="E291" s="1"/>
      <c r="F291" s="1"/>
      <c r="G291" s="1"/>
      <c r="H291" s="1"/>
      <c r="I291" s="1"/>
      <c r="J291" s="1"/>
      <c r="K291" s="1"/>
      <c r="L291" s="1"/>
      <c r="M291" s="1"/>
      <c r="N291" s="1"/>
      <c r="O291" s="1"/>
      <c r="P291" s="1"/>
      <c r="Q291" s="1"/>
      <c r="R291" s="1"/>
      <c r="S291" s="1"/>
      <c r="T291" s="1"/>
      <c r="U291" s="5"/>
      <c r="V291" s="6"/>
      <c r="W291" s="6"/>
      <c r="X291" s="6"/>
      <c r="Y291" s="6"/>
      <c r="Z291" s="6"/>
      <c r="AA291" s="6"/>
      <c r="AB291" s="5"/>
      <c r="AC291" s="174"/>
      <c r="AD291" s="175"/>
    </row>
    <row r="292" hidden="1">
      <c r="A292" s="1"/>
      <c r="B292" s="1"/>
      <c r="C292" s="1"/>
      <c r="D292" s="1"/>
      <c r="E292" s="1"/>
      <c r="F292" s="1"/>
      <c r="G292" s="1"/>
      <c r="H292" s="1"/>
      <c r="I292" s="1"/>
      <c r="J292" s="1"/>
      <c r="K292" s="1"/>
      <c r="L292" s="1"/>
      <c r="M292" s="1"/>
      <c r="N292" s="1"/>
      <c r="O292" s="1"/>
      <c r="P292" s="1"/>
      <c r="Q292" s="1"/>
      <c r="R292" s="1"/>
      <c r="S292" s="1"/>
      <c r="T292" s="1"/>
      <c r="U292" s="5"/>
      <c r="V292" s="6"/>
      <c r="W292" s="6"/>
      <c r="X292" s="6"/>
      <c r="Y292" s="6"/>
      <c r="Z292" s="6"/>
      <c r="AA292" s="6"/>
      <c r="AB292" s="5"/>
      <c r="AC292" s="174"/>
      <c r="AD292" s="175"/>
    </row>
    <row r="293" hidden="1">
      <c r="A293" s="1"/>
      <c r="B293" s="1"/>
      <c r="C293" s="1"/>
      <c r="D293" s="1"/>
      <c r="E293" s="1"/>
      <c r="F293" s="1"/>
      <c r="G293" s="1"/>
      <c r="H293" s="1"/>
      <c r="I293" s="1"/>
      <c r="J293" s="1"/>
      <c r="K293" s="1"/>
      <c r="L293" s="1"/>
      <c r="M293" s="1"/>
      <c r="N293" s="1"/>
      <c r="O293" s="1"/>
      <c r="P293" s="1"/>
      <c r="Q293" s="1"/>
      <c r="R293" s="1"/>
      <c r="S293" s="1"/>
      <c r="T293" s="1"/>
      <c r="U293" s="5"/>
      <c r="V293" s="6"/>
      <c r="W293" s="6"/>
      <c r="X293" s="6"/>
      <c r="Y293" s="6"/>
      <c r="Z293" s="6"/>
      <c r="AA293" s="6"/>
      <c r="AB293" s="5"/>
      <c r="AC293" s="174"/>
      <c r="AD293" s="175"/>
    </row>
    <row r="294" hidden="1">
      <c r="A294" s="1"/>
      <c r="B294" s="1"/>
      <c r="C294" s="1"/>
      <c r="D294" s="1"/>
      <c r="E294" s="1"/>
      <c r="F294" s="1"/>
      <c r="G294" s="1"/>
      <c r="H294" s="1"/>
      <c r="I294" s="1"/>
      <c r="J294" s="1"/>
      <c r="K294" s="1"/>
      <c r="L294" s="1"/>
      <c r="M294" s="1"/>
      <c r="N294" s="1"/>
      <c r="O294" s="1"/>
      <c r="P294" s="1"/>
      <c r="Q294" s="1"/>
      <c r="R294" s="1"/>
      <c r="S294" s="1"/>
      <c r="T294" s="1"/>
      <c r="U294" s="5"/>
      <c r="V294" s="6"/>
      <c r="W294" s="6"/>
      <c r="X294" s="6"/>
      <c r="Y294" s="6"/>
      <c r="Z294" s="6"/>
      <c r="AA294" s="6"/>
      <c r="AB294" s="5"/>
      <c r="AC294" s="174"/>
      <c r="AD294" s="175"/>
    </row>
    <row r="295" hidden="1">
      <c r="A295" s="1"/>
      <c r="B295" s="1"/>
      <c r="C295" s="1"/>
      <c r="D295" s="1"/>
      <c r="E295" s="1"/>
      <c r="F295" s="1"/>
      <c r="G295" s="1"/>
      <c r="H295" s="1"/>
      <c r="I295" s="1"/>
      <c r="J295" s="1"/>
      <c r="K295" s="1"/>
      <c r="L295" s="1"/>
      <c r="M295" s="1"/>
      <c r="N295" s="1"/>
      <c r="O295" s="1"/>
      <c r="P295" s="1"/>
      <c r="Q295" s="1"/>
      <c r="R295" s="1"/>
      <c r="S295" s="1"/>
      <c r="T295" s="1"/>
      <c r="U295" s="5"/>
      <c r="V295" s="6"/>
      <c r="W295" s="6"/>
      <c r="X295" s="6"/>
      <c r="Y295" s="6"/>
      <c r="Z295" s="6"/>
      <c r="AA295" s="6"/>
      <c r="AB295" s="5"/>
      <c r="AC295" s="174"/>
      <c r="AD295" s="175"/>
    </row>
    <row r="296" hidden="1">
      <c r="A296" s="1"/>
      <c r="B296" s="1"/>
      <c r="C296" s="1"/>
      <c r="D296" s="1"/>
      <c r="E296" s="1"/>
      <c r="F296" s="1"/>
      <c r="G296" s="1"/>
      <c r="H296" s="1"/>
      <c r="I296" s="1"/>
      <c r="J296" s="1"/>
      <c r="K296" s="1"/>
      <c r="L296" s="1"/>
      <c r="M296" s="1"/>
      <c r="N296" s="1"/>
      <c r="O296" s="1"/>
      <c r="P296" s="1"/>
      <c r="Q296" s="1"/>
      <c r="R296" s="1"/>
      <c r="S296" s="1"/>
      <c r="T296" s="1"/>
      <c r="U296" s="5"/>
      <c r="V296" s="6"/>
      <c r="W296" s="6"/>
      <c r="X296" s="6"/>
      <c r="Y296" s="6"/>
      <c r="Z296" s="6"/>
      <c r="AA296" s="6"/>
      <c r="AB296" s="5"/>
      <c r="AC296" s="174"/>
      <c r="AD296" s="175"/>
    </row>
    <row r="297" hidden="1">
      <c r="A297" s="1"/>
      <c r="B297" s="1"/>
      <c r="C297" s="1"/>
      <c r="D297" s="1"/>
      <c r="E297" s="1"/>
      <c r="F297" s="1"/>
      <c r="G297" s="1"/>
      <c r="H297" s="1"/>
      <c r="I297" s="1"/>
      <c r="J297" s="1"/>
      <c r="K297" s="1"/>
      <c r="L297" s="1"/>
      <c r="M297" s="1"/>
      <c r="N297" s="1"/>
      <c r="O297" s="1"/>
      <c r="P297" s="1"/>
      <c r="Q297" s="1"/>
      <c r="R297" s="1"/>
      <c r="S297" s="1"/>
      <c r="T297" s="1"/>
      <c r="U297" s="5"/>
      <c r="V297" s="6"/>
      <c r="W297" s="6"/>
      <c r="X297" s="6"/>
      <c r="Y297" s="6"/>
      <c r="Z297" s="6"/>
      <c r="AA297" s="6"/>
      <c r="AB297" s="5"/>
      <c r="AC297" s="174"/>
      <c r="AD297" s="175"/>
    </row>
    <row r="298" hidden="1">
      <c r="A298" s="1"/>
      <c r="B298" s="1"/>
      <c r="C298" s="1"/>
      <c r="D298" s="1"/>
      <c r="E298" s="1"/>
      <c r="F298" s="1"/>
      <c r="G298" s="1"/>
      <c r="H298" s="1"/>
      <c r="I298" s="1"/>
      <c r="J298" s="1"/>
      <c r="K298" s="1"/>
      <c r="L298" s="1"/>
      <c r="M298" s="1"/>
      <c r="N298" s="1"/>
      <c r="O298" s="1"/>
      <c r="P298" s="1"/>
      <c r="Q298" s="1"/>
      <c r="R298" s="1"/>
      <c r="S298" s="1"/>
      <c r="T298" s="1"/>
      <c r="U298" s="5"/>
      <c r="V298" s="6"/>
      <c r="W298" s="6"/>
      <c r="X298" s="6"/>
      <c r="Y298" s="6"/>
      <c r="Z298" s="6"/>
      <c r="AA298" s="6"/>
      <c r="AB298" s="5"/>
      <c r="AC298" s="174"/>
      <c r="AD298" s="175"/>
    </row>
    <row r="299" hidden="1">
      <c r="A299" s="1"/>
      <c r="B299" s="1"/>
      <c r="C299" s="1"/>
      <c r="D299" s="1"/>
      <c r="E299" s="1"/>
      <c r="F299" s="1"/>
      <c r="G299" s="1"/>
      <c r="H299" s="1"/>
      <c r="I299" s="1"/>
      <c r="J299" s="1"/>
      <c r="K299" s="1"/>
      <c r="L299" s="1"/>
      <c r="M299" s="1"/>
      <c r="N299" s="1"/>
      <c r="O299" s="1"/>
      <c r="P299" s="1"/>
      <c r="Q299" s="1"/>
      <c r="R299" s="1"/>
      <c r="S299" s="1"/>
      <c r="T299" s="1"/>
      <c r="U299" s="5"/>
      <c r="V299" s="6"/>
      <c r="W299" s="6"/>
      <c r="X299" s="6"/>
      <c r="Y299" s="6"/>
      <c r="Z299" s="6"/>
      <c r="AA299" s="6"/>
      <c r="AB299" s="5"/>
      <c r="AC299" s="174"/>
      <c r="AD299" s="175"/>
    </row>
    <row r="300" hidden="1">
      <c r="A300" s="1"/>
      <c r="B300" s="1"/>
      <c r="C300" s="1"/>
      <c r="D300" s="1"/>
      <c r="E300" s="1"/>
      <c r="F300" s="1"/>
      <c r="G300" s="1"/>
      <c r="H300" s="1"/>
      <c r="I300" s="1"/>
      <c r="J300" s="1"/>
      <c r="K300" s="1"/>
      <c r="L300" s="1"/>
      <c r="M300" s="1"/>
      <c r="N300" s="1"/>
      <c r="O300" s="1"/>
      <c r="P300" s="1"/>
      <c r="Q300" s="1"/>
      <c r="R300" s="1"/>
      <c r="S300" s="1"/>
      <c r="T300" s="1"/>
      <c r="U300" s="5"/>
      <c r="V300" s="6"/>
      <c r="W300" s="6"/>
      <c r="X300" s="6"/>
      <c r="Y300" s="6"/>
      <c r="Z300" s="6"/>
      <c r="AA300" s="6"/>
      <c r="AB300" s="5"/>
      <c r="AC300" s="174"/>
      <c r="AD300" s="175"/>
    </row>
    <row r="301" hidden="1">
      <c r="A301" s="1"/>
      <c r="B301" s="1"/>
      <c r="C301" s="1"/>
      <c r="D301" s="1"/>
      <c r="E301" s="1"/>
      <c r="F301" s="1"/>
      <c r="G301" s="1"/>
      <c r="H301" s="1"/>
      <c r="I301" s="1"/>
      <c r="J301" s="1"/>
      <c r="K301" s="1"/>
      <c r="L301" s="1"/>
      <c r="M301" s="1"/>
      <c r="N301" s="1"/>
      <c r="O301" s="1"/>
      <c r="P301" s="1"/>
      <c r="Q301" s="1"/>
      <c r="R301" s="1"/>
      <c r="S301" s="1"/>
      <c r="T301" s="1"/>
      <c r="U301" s="5"/>
      <c r="V301" s="6"/>
      <c r="W301" s="6"/>
      <c r="X301" s="6"/>
      <c r="Y301" s="6"/>
      <c r="Z301" s="6"/>
      <c r="AA301" s="6"/>
      <c r="AB301" s="5"/>
      <c r="AC301" s="174"/>
      <c r="AD301" s="175"/>
    </row>
    <row r="302" hidden="1">
      <c r="A302" s="1"/>
      <c r="B302" s="1"/>
      <c r="C302" s="1"/>
      <c r="D302" s="1"/>
      <c r="E302" s="1"/>
      <c r="F302" s="1"/>
      <c r="G302" s="1"/>
      <c r="H302" s="1"/>
      <c r="I302" s="1"/>
      <c r="J302" s="1"/>
      <c r="K302" s="1"/>
      <c r="L302" s="1"/>
      <c r="M302" s="1"/>
      <c r="N302" s="1"/>
      <c r="O302" s="1"/>
      <c r="P302" s="1"/>
      <c r="Q302" s="1"/>
      <c r="R302" s="1"/>
      <c r="S302" s="1"/>
      <c r="T302" s="1"/>
      <c r="U302" s="5"/>
      <c r="V302" s="6"/>
      <c r="W302" s="6"/>
      <c r="X302" s="6"/>
      <c r="Y302" s="6"/>
      <c r="Z302" s="6"/>
      <c r="AA302" s="6"/>
      <c r="AB302" s="5"/>
      <c r="AC302" s="174"/>
      <c r="AD302" s="175"/>
    </row>
    <row r="303" hidden="1">
      <c r="A303" s="1"/>
      <c r="B303" s="1"/>
      <c r="C303" s="1"/>
      <c r="D303" s="1"/>
      <c r="E303" s="1"/>
      <c r="F303" s="1"/>
      <c r="G303" s="1"/>
      <c r="H303" s="1"/>
      <c r="I303" s="1"/>
      <c r="J303" s="1"/>
      <c r="K303" s="1"/>
      <c r="L303" s="1"/>
      <c r="M303" s="1"/>
      <c r="N303" s="1"/>
      <c r="O303" s="1"/>
      <c r="P303" s="1"/>
      <c r="Q303" s="1"/>
      <c r="R303" s="1"/>
      <c r="S303" s="1"/>
      <c r="T303" s="1"/>
      <c r="U303" s="5"/>
      <c r="V303" s="6"/>
      <c r="W303" s="6"/>
      <c r="X303" s="6"/>
      <c r="Y303" s="6"/>
      <c r="Z303" s="6"/>
      <c r="AA303" s="6"/>
      <c r="AB303" s="5"/>
      <c r="AC303" s="174"/>
      <c r="AD303" s="175"/>
    </row>
    <row r="304" hidden="1">
      <c r="A304" s="1"/>
      <c r="B304" s="1"/>
      <c r="C304" s="1"/>
      <c r="D304" s="1"/>
      <c r="E304" s="1"/>
      <c r="F304" s="1"/>
      <c r="G304" s="1"/>
      <c r="H304" s="1"/>
      <c r="I304" s="1"/>
      <c r="J304" s="1"/>
      <c r="K304" s="1"/>
      <c r="L304" s="1"/>
      <c r="M304" s="1"/>
      <c r="N304" s="1"/>
      <c r="O304" s="1"/>
      <c r="P304" s="1"/>
      <c r="Q304" s="1"/>
      <c r="R304" s="1"/>
      <c r="S304" s="1"/>
      <c r="T304" s="1"/>
      <c r="U304" s="5"/>
      <c r="V304" s="6"/>
      <c r="W304" s="6"/>
      <c r="X304" s="6"/>
      <c r="Y304" s="6"/>
      <c r="Z304" s="6"/>
      <c r="AA304" s="6"/>
      <c r="AB304" s="5"/>
      <c r="AC304" s="174"/>
      <c r="AD304" s="175"/>
    </row>
    <row r="305" hidden="1">
      <c r="A305" s="1"/>
      <c r="B305" s="1"/>
      <c r="C305" s="1"/>
      <c r="D305" s="1"/>
      <c r="E305" s="1"/>
      <c r="F305" s="1"/>
      <c r="G305" s="1"/>
      <c r="H305" s="1"/>
      <c r="I305" s="1"/>
      <c r="J305" s="1"/>
      <c r="K305" s="1"/>
      <c r="L305" s="1"/>
      <c r="M305" s="1"/>
      <c r="N305" s="1"/>
      <c r="O305" s="1"/>
      <c r="P305" s="1"/>
      <c r="Q305" s="1"/>
      <c r="R305" s="1"/>
      <c r="S305" s="1"/>
      <c r="T305" s="1"/>
      <c r="U305" s="5"/>
      <c r="V305" s="6"/>
      <c r="W305" s="6"/>
      <c r="X305" s="6"/>
      <c r="Y305" s="6"/>
      <c r="Z305" s="6"/>
      <c r="AA305" s="6"/>
      <c r="AB305" s="5"/>
      <c r="AC305" s="174"/>
      <c r="AD305" s="175"/>
    </row>
    <row r="306" hidden="1">
      <c r="A306" s="1"/>
      <c r="B306" s="1"/>
      <c r="C306" s="1"/>
      <c r="D306" s="1"/>
      <c r="E306" s="1"/>
      <c r="F306" s="1"/>
      <c r="G306" s="1"/>
      <c r="H306" s="1"/>
      <c r="I306" s="1"/>
      <c r="J306" s="1"/>
      <c r="K306" s="1"/>
      <c r="L306" s="1"/>
      <c r="M306" s="1"/>
      <c r="N306" s="1"/>
      <c r="O306" s="1"/>
      <c r="P306" s="1"/>
      <c r="Q306" s="1"/>
      <c r="R306" s="1"/>
      <c r="S306" s="1"/>
      <c r="T306" s="1"/>
      <c r="U306" s="5"/>
      <c r="V306" s="6"/>
      <c r="W306" s="6"/>
      <c r="X306" s="6"/>
      <c r="Y306" s="6"/>
      <c r="Z306" s="6"/>
      <c r="AA306" s="6"/>
      <c r="AB306" s="5"/>
      <c r="AC306" s="174"/>
      <c r="AD306" s="175"/>
    </row>
    <row r="307" hidden="1">
      <c r="A307" s="1"/>
      <c r="B307" s="1"/>
      <c r="C307" s="1"/>
      <c r="D307" s="1"/>
      <c r="E307" s="1"/>
      <c r="F307" s="1"/>
      <c r="G307" s="1"/>
      <c r="H307" s="1"/>
      <c r="I307" s="1"/>
      <c r="J307" s="1"/>
      <c r="K307" s="1"/>
      <c r="L307" s="1"/>
      <c r="M307" s="1"/>
      <c r="N307" s="1"/>
      <c r="O307" s="1"/>
      <c r="P307" s="1"/>
      <c r="Q307" s="1"/>
      <c r="R307" s="1"/>
      <c r="S307" s="1"/>
      <c r="T307" s="1"/>
      <c r="U307" s="5"/>
      <c r="V307" s="6"/>
      <c r="W307" s="6"/>
      <c r="X307" s="6"/>
      <c r="Y307" s="6"/>
      <c r="Z307" s="6"/>
      <c r="AA307" s="6"/>
      <c r="AB307" s="5"/>
      <c r="AC307" s="174"/>
      <c r="AD307" s="175"/>
    </row>
    <row r="308" hidden="1">
      <c r="A308" s="1"/>
      <c r="B308" s="1"/>
      <c r="C308" s="1"/>
      <c r="D308" s="1"/>
      <c r="E308" s="1"/>
      <c r="F308" s="1"/>
      <c r="G308" s="1"/>
      <c r="H308" s="1"/>
      <c r="I308" s="1"/>
      <c r="J308" s="1"/>
      <c r="K308" s="1"/>
      <c r="L308" s="1"/>
      <c r="M308" s="1"/>
      <c r="N308" s="1"/>
      <c r="O308" s="1"/>
      <c r="P308" s="1"/>
      <c r="Q308" s="1"/>
      <c r="R308" s="1"/>
      <c r="S308" s="1"/>
      <c r="T308" s="1"/>
      <c r="U308" s="5"/>
      <c r="V308" s="6"/>
      <c r="W308" s="6"/>
      <c r="X308" s="6"/>
      <c r="Y308" s="6"/>
      <c r="Z308" s="6"/>
      <c r="AA308" s="6"/>
      <c r="AB308" s="5"/>
      <c r="AC308" s="174"/>
      <c r="AD308" s="175"/>
    </row>
    <row r="309" hidden="1">
      <c r="A309" s="1"/>
      <c r="B309" s="1"/>
      <c r="C309" s="1"/>
      <c r="D309" s="1"/>
      <c r="E309" s="1"/>
      <c r="F309" s="1"/>
      <c r="G309" s="1"/>
      <c r="H309" s="1"/>
      <c r="I309" s="1"/>
      <c r="J309" s="1"/>
      <c r="K309" s="1"/>
      <c r="L309" s="1"/>
      <c r="M309" s="1"/>
      <c r="N309" s="1"/>
      <c r="O309" s="1"/>
      <c r="P309" s="1"/>
      <c r="Q309" s="1"/>
      <c r="R309" s="1"/>
      <c r="S309" s="1"/>
      <c r="T309" s="1"/>
      <c r="U309" s="5"/>
      <c r="V309" s="6"/>
      <c r="W309" s="6"/>
      <c r="X309" s="6"/>
      <c r="Y309" s="6"/>
      <c r="Z309" s="6"/>
      <c r="AA309" s="6"/>
      <c r="AB309" s="5"/>
      <c r="AC309" s="174"/>
      <c r="AD309" s="175"/>
    </row>
    <row r="310" hidden="1">
      <c r="A310" s="1"/>
      <c r="B310" s="1"/>
      <c r="C310" s="1"/>
      <c r="D310" s="1"/>
      <c r="E310" s="1"/>
      <c r="F310" s="1"/>
      <c r="G310" s="1"/>
      <c r="H310" s="1"/>
      <c r="I310" s="1"/>
      <c r="J310" s="1"/>
      <c r="K310" s="1"/>
      <c r="L310" s="1"/>
      <c r="M310" s="1"/>
      <c r="N310" s="1"/>
      <c r="O310" s="1"/>
      <c r="P310" s="1"/>
      <c r="Q310" s="1"/>
      <c r="R310" s="1"/>
      <c r="S310" s="1"/>
      <c r="T310" s="1"/>
      <c r="U310" s="5"/>
      <c r="V310" s="6"/>
      <c r="W310" s="6"/>
      <c r="X310" s="6"/>
      <c r="Y310" s="6"/>
      <c r="Z310" s="6"/>
      <c r="AA310" s="6"/>
      <c r="AB310" s="5"/>
      <c r="AC310" s="174"/>
      <c r="AD310" s="175"/>
    </row>
    <row r="311" hidden="1">
      <c r="A311" s="1"/>
      <c r="B311" s="1"/>
      <c r="C311" s="1"/>
      <c r="D311" s="1"/>
      <c r="E311" s="1"/>
      <c r="F311" s="1"/>
      <c r="G311" s="1"/>
      <c r="H311" s="1"/>
      <c r="I311" s="1"/>
      <c r="J311" s="1"/>
      <c r="K311" s="1"/>
      <c r="L311" s="1"/>
      <c r="M311" s="1"/>
      <c r="N311" s="1"/>
      <c r="O311" s="1"/>
      <c r="P311" s="1"/>
      <c r="Q311" s="1"/>
      <c r="R311" s="1"/>
      <c r="S311" s="1"/>
      <c r="T311" s="1"/>
      <c r="U311" s="5"/>
      <c r="V311" s="6"/>
      <c r="W311" s="6"/>
      <c r="X311" s="6"/>
      <c r="Y311" s="6"/>
      <c r="Z311" s="6"/>
      <c r="AA311" s="6"/>
      <c r="AB311" s="5"/>
      <c r="AC311" s="174"/>
      <c r="AD311" s="175"/>
    </row>
    <row r="312" hidden="1">
      <c r="A312" s="1"/>
      <c r="B312" s="1"/>
      <c r="C312" s="1"/>
      <c r="D312" s="1"/>
      <c r="E312" s="1"/>
      <c r="F312" s="1"/>
      <c r="G312" s="1"/>
      <c r="H312" s="1"/>
      <c r="I312" s="1"/>
      <c r="J312" s="1"/>
      <c r="K312" s="1"/>
      <c r="L312" s="1"/>
      <c r="M312" s="1"/>
      <c r="N312" s="1"/>
      <c r="O312" s="1"/>
      <c r="P312" s="1"/>
      <c r="Q312" s="1"/>
      <c r="R312" s="1"/>
      <c r="S312" s="1"/>
      <c r="T312" s="1"/>
      <c r="U312" s="5"/>
      <c r="V312" s="6"/>
      <c r="W312" s="6"/>
      <c r="X312" s="6"/>
      <c r="Y312" s="6"/>
      <c r="Z312" s="6"/>
      <c r="AA312" s="6"/>
      <c r="AB312" s="5"/>
      <c r="AC312" s="174"/>
      <c r="AD312" s="175"/>
    </row>
    <row r="313" hidden="1">
      <c r="A313" s="1"/>
      <c r="B313" s="1"/>
      <c r="C313" s="1"/>
      <c r="D313" s="1"/>
      <c r="E313" s="1"/>
      <c r="F313" s="1"/>
      <c r="G313" s="1"/>
      <c r="H313" s="1"/>
      <c r="I313" s="1"/>
      <c r="J313" s="1"/>
      <c r="K313" s="1"/>
      <c r="L313" s="1"/>
      <c r="M313" s="1"/>
      <c r="N313" s="1"/>
      <c r="O313" s="1"/>
      <c r="P313" s="1"/>
      <c r="Q313" s="1"/>
      <c r="R313" s="1"/>
      <c r="S313" s="1"/>
      <c r="T313" s="1"/>
      <c r="U313" s="5"/>
      <c r="V313" s="6"/>
      <c r="W313" s="6"/>
      <c r="X313" s="6"/>
      <c r="Y313" s="6"/>
      <c r="Z313" s="6"/>
      <c r="AA313" s="6"/>
      <c r="AB313" s="5"/>
      <c r="AC313" s="174"/>
      <c r="AD313" s="175"/>
    </row>
    <row r="314" hidden="1">
      <c r="A314" s="1"/>
      <c r="B314" s="1"/>
      <c r="C314" s="1"/>
      <c r="D314" s="1"/>
      <c r="E314" s="1"/>
      <c r="F314" s="1"/>
      <c r="G314" s="1"/>
      <c r="H314" s="1"/>
      <c r="I314" s="1"/>
      <c r="J314" s="1"/>
      <c r="K314" s="1"/>
      <c r="L314" s="1"/>
      <c r="M314" s="1"/>
      <c r="N314" s="1"/>
      <c r="O314" s="1"/>
      <c r="P314" s="1"/>
      <c r="Q314" s="1"/>
      <c r="R314" s="1"/>
      <c r="S314" s="1"/>
      <c r="T314" s="1"/>
      <c r="U314" s="5"/>
      <c r="V314" s="6"/>
      <c r="W314" s="6"/>
      <c r="X314" s="6"/>
      <c r="Y314" s="6"/>
      <c r="Z314" s="6"/>
      <c r="AA314" s="6"/>
      <c r="AB314" s="5"/>
      <c r="AC314" s="174"/>
      <c r="AD314" s="175"/>
    </row>
    <row r="315" hidden="1">
      <c r="A315" s="1"/>
      <c r="B315" s="1"/>
      <c r="C315" s="1"/>
      <c r="D315" s="1"/>
      <c r="E315" s="1"/>
      <c r="F315" s="1"/>
      <c r="G315" s="1"/>
      <c r="H315" s="1"/>
      <c r="I315" s="1"/>
      <c r="J315" s="1"/>
      <c r="K315" s="1"/>
      <c r="L315" s="1"/>
      <c r="M315" s="1"/>
      <c r="N315" s="1"/>
      <c r="O315" s="1"/>
      <c r="P315" s="1"/>
      <c r="Q315" s="1"/>
      <c r="R315" s="1"/>
      <c r="S315" s="1"/>
      <c r="T315" s="1"/>
      <c r="U315" s="5"/>
      <c r="V315" s="6"/>
      <c r="W315" s="6"/>
      <c r="X315" s="6"/>
      <c r="Y315" s="6"/>
      <c r="Z315" s="6"/>
      <c r="AA315" s="6"/>
      <c r="AB315" s="5"/>
      <c r="AC315" s="174"/>
      <c r="AD315" s="175"/>
    </row>
    <row r="316" hidden="1">
      <c r="A316" s="1"/>
      <c r="B316" s="1"/>
      <c r="C316" s="1"/>
      <c r="D316" s="1"/>
      <c r="E316" s="1"/>
      <c r="F316" s="1"/>
      <c r="G316" s="1"/>
      <c r="H316" s="1"/>
      <c r="I316" s="1"/>
      <c r="J316" s="1"/>
      <c r="K316" s="1"/>
      <c r="L316" s="1"/>
      <c r="M316" s="1"/>
      <c r="N316" s="1"/>
      <c r="O316" s="1"/>
      <c r="P316" s="1"/>
      <c r="Q316" s="1"/>
      <c r="R316" s="1"/>
      <c r="S316" s="1"/>
      <c r="T316" s="1"/>
      <c r="U316" s="5"/>
      <c r="V316" s="6"/>
      <c r="W316" s="6"/>
      <c r="X316" s="6"/>
      <c r="Y316" s="6"/>
      <c r="Z316" s="6"/>
      <c r="AA316" s="6"/>
      <c r="AB316" s="5"/>
      <c r="AC316" s="174"/>
      <c r="AD316" s="175"/>
    </row>
    <row r="317" hidden="1">
      <c r="A317" s="1"/>
      <c r="B317" s="1"/>
      <c r="C317" s="1"/>
      <c r="D317" s="1"/>
      <c r="E317" s="1"/>
      <c r="F317" s="1"/>
      <c r="G317" s="1"/>
      <c r="H317" s="1"/>
      <c r="I317" s="1"/>
      <c r="J317" s="1"/>
      <c r="K317" s="1"/>
      <c r="L317" s="1"/>
      <c r="M317" s="1"/>
      <c r="N317" s="1"/>
      <c r="O317" s="1"/>
      <c r="P317" s="1"/>
      <c r="Q317" s="1"/>
      <c r="R317" s="1"/>
      <c r="S317" s="1"/>
      <c r="T317" s="1"/>
      <c r="U317" s="5"/>
      <c r="V317" s="6"/>
      <c r="W317" s="6"/>
      <c r="X317" s="6"/>
      <c r="Y317" s="6"/>
      <c r="Z317" s="6"/>
      <c r="AA317" s="6"/>
      <c r="AB317" s="5"/>
      <c r="AC317" s="174"/>
      <c r="AD317" s="175"/>
    </row>
    <row r="318" hidden="1">
      <c r="A318" s="1"/>
      <c r="B318" s="1"/>
      <c r="C318" s="1"/>
      <c r="D318" s="1"/>
      <c r="E318" s="1"/>
      <c r="F318" s="1"/>
      <c r="G318" s="1"/>
      <c r="H318" s="1"/>
      <c r="I318" s="1"/>
      <c r="J318" s="1"/>
      <c r="K318" s="1"/>
      <c r="L318" s="1"/>
      <c r="M318" s="1"/>
      <c r="N318" s="1"/>
      <c r="O318" s="1"/>
      <c r="P318" s="1"/>
      <c r="Q318" s="1"/>
      <c r="R318" s="1"/>
      <c r="S318" s="1"/>
      <c r="T318" s="1"/>
      <c r="U318" s="5"/>
      <c r="V318" s="6"/>
      <c r="W318" s="6"/>
      <c r="X318" s="6"/>
      <c r="Y318" s="6"/>
      <c r="Z318" s="6"/>
      <c r="AA318" s="6"/>
      <c r="AB318" s="5"/>
      <c r="AC318" s="174"/>
      <c r="AD318" s="175"/>
    </row>
    <row r="319" hidden="1">
      <c r="A319" s="1"/>
      <c r="B319" s="1"/>
      <c r="C319" s="1"/>
      <c r="D319" s="1"/>
      <c r="E319" s="1"/>
      <c r="F319" s="1"/>
      <c r="G319" s="1"/>
      <c r="H319" s="1"/>
      <c r="I319" s="1"/>
      <c r="J319" s="1"/>
      <c r="K319" s="1"/>
      <c r="L319" s="1"/>
      <c r="M319" s="1"/>
      <c r="N319" s="1"/>
      <c r="O319" s="1"/>
      <c r="P319" s="1"/>
      <c r="Q319" s="1"/>
      <c r="R319" s="1"/>
      <c r="S319" s="1"/>
      <c r="T319" s="1"/>
      <c r="U319" s="5"/>
      <c r="V319" s="6"/>
      <c r="W319" s="6"/>
      <c r="X319" s="6"/>
      <c r="Y319" s="6"/>
      <c r="Z319" s="6"/>
      <c r="AA319" s="6"/>
      <c r="AB319" s="5"/>
      <c r="AC319" s="174"/>
      <c r="AD319" s="175"/>
    </row>
    <row r="320" hidden="1">
      <c r="A320" s="1"/>
      <c r="B320" s="1"/>
      <c r="C320" s="1"/>
      <c r="D320" s="1"/>
      <c r="E320" s="1"/>
      <c r="F320" s="1"/>
      <c r="G320" s="1"/>
      <c r="H320" s="1"/>
      <c r="I320" s="1"/>
      <c r="J320" s="1"/>
      <c r="K320" s="1"/>
      <c r="L320" s="1"/>
      <c r="M320" s="1"/>
      <c r="N320" s="1"/>
      <c r="O320" s="1"/>
      <c r="P320" s="1"/>
      <c r="Q320" s="1"/>
      <c r="R320" s="1"/>
      <c r="S320" s="1"/>
      <c r="T320" s="1"/>
      <c r="U320" s="5"/>
      <c r="V320" s="6"/>
      <c r="W320" s="6"/>
      <c r="X320" s="6"/>
      <c r="Y320" s="6"/>
      <c r="Z320" s="6"/>
      <c r="AA320" s="6"/>
      <c r="AB320" s="5"/>
      <c r="AC320" s="174"/>
      <c r="AD320" s="175"/>
    </row>
    <row r="321" hidden="1">
      <c r="A321" s="1"/>
      <c r="B321" s="1"/>
      <c r="C321" s="1"/>
      <c r="D321" s="1"/>
      <c r="E321" s="1"/>
      <c r="F321" s="1"/>
      <c r="G321" s="1"/>
      <c r="H321" s="1"/>
      <c r="I321" s="1"/>
      <c r="J321" s="1"/>
      <c r="K321" s="1"/>
      <c r="L321" s="1"/>
      <c r="M321" s="1"/>
      <c r="N321" s="1"/>
      <c r="O321" s="1"/>
      <c r="P321" s="1"/>
      <c r="Q321" s="1"/>
      <c r="R321" s="1"/>
      <c r="S321" s="1"/>
      <c r="T321" s="1"/>
      <c r="U321" s="5"/>
      <c r="V321" s="6"/>
      <c r="W321" s="6"/>
      <c r="X321" s="6"/>
      <c r="Y321" s="6"/>
      <c r="Z321" s="6"/>
      <c r="AA321" s="6"/>
      <c r="AB321" s="5"/>
      <c r="AC321" s="174"/>
      <c r="AD321" s="175"/>
    </row>
    <row r="322" hidden="1">
      <c r="A322" s="1"/>
      <c r="B322" s="1"/>
      <c r="C322" s="1"/>
      <c r="D322" s="1"/>
      <c r="E322" s="1"/>
      <c r="F322" s="1"/>
      <c r="G322" s="1"/>
      <c r="H322" s="1"/>
      <c r="I322" s="1"/>
      <c r="J322" s="1"/>
      <c r="K322" s="1"/>
      <c r="L322" s="1"/>
      <c r="M322" s="1"/>
      <c r="N322" s="1"/>
      <c r="O322" s="1"/>
      <c r="P322" s="1"/>
      <c r="Q322" s="1"/>
      <c r="R322" s="1"/>
      <c r="S322" s="1"/>
      <c r="T322" s="1"/>
      <c r="U322" s="5"/>
      <c r="V322" s="6"/>
      <c r="W322" s="6"/>
      <c r="X322" s="6"/>
      <c r="Y322" s="6"/>
      <c r="Z322" s="6"/>
      <c r="AA322" s="6"/>
      <c r="AB322" s="5"/>
      <c r="AC322" s="174"/>
      <c r="AD322" s="175"/>
    </row>
    <row r="323" hidden="1">
      <c r="A323" s="1"/>
      <c r="B323" s="1"/>
      <c r="C323" s="1"/>
      <c r="D323" s="1"/>
      <c r="E323" s="1"/>
      <c r="F323" s="1"/>
      <c r="G323" s="1"/>
      <c r="H323" s="1"/>
      <c r="I323" s="1"/>
      <c r="J323" s="1"/>
      <c r="K323" s="1"/>
      <c r="L323" s="1"/>
      <c r="M323" s="1"/>
      <c r="N323" s="1"/>
      <c r="O323" s="1"/>
      <c r="P323" s="1"/>
      <c r="Q323" s="1"/>
      <c r="R323" s="1"/>
      <c r="S323" s="1"/>
      <c r="T323" s="1"/>
      <c r="U323" s="5"/>
      <c r="V323" s="6"/>
      <c r="W323" s="6"/>
      <c r="X323" s="6"/>
      <c r="Y323" s="6"/>
      <c r="Z323" s="6"/>
      <c r="AA323" s="6"/>
      <c r="AB323" s="5"/>
      <c r="AC323" s="174"/>
      <c r="AD323" s="175"/>
    </row>
    <row r="324" hidden="1">
      <c r="A324" s="1"/>
      <c r="B324" s="1"/>
      <c r="C324" s="1"/>
      <c r="D324" s="1"/>
      <c r="E324" s="1"/>
      <c r="F324" s="1"/>
      <c r="G324" s="1"/>
      <c r="H324" s="1"/>
      <c r="I324" s="1"/>
      <c r="J324" s="1"/>
      <c r="K324" s="1"/>
      <c r="L324" s="1"/>
      <c r="M324" s="1"/>
      <c r="N324" s="1"/>
      <c r="O324" s="1"/>
      <c r="P324" s="1"/>
      <c r="Q324" s="1"/>
      <c r="R324" s="1"/>
      <c r="S324" s="1"/>
      <c r="T324" s="1"/>
      <c r="U324" s="5"/>
      <c r="V324" s="6"/>
      <c r="W324" s="6"/>
      <c r="X324" s="6"/>
      <c r="Y324" s="6"/>
      <c r="Z324" s="6"/>
      <c r="AA324" s="6"/>
      <c r="AB324" s="5"/>
      <c r="AC324" s="174"/>
      <c r="AD324" s="175"/>
    </row>
    <row r="325" hidden="1">
      <c r="A325" s="1"/>
      <c r="B325" s="1"/>
      <c r="C325" s="1"/>
      <c r="D325" s="1"/>
      <c r="E325" s="1"/>
      <c r="F325" s="1"/>
      <c r="G325" s="1"/>
      <c r="H325" s="1"/>
      <c r="I325" s="1"/>
      <c r="J325" s="1"/>
      <c r="K325" s="1"/>
      <c r="L325" s="1"/>
      <c r="M325" s="1"/>
      <c r="N325" s="1"/>
      <c r="O325" s="1"/>
      <c r="P325" s="1"/>
      <c r="Q325" s="1"/>
      <c r="R325" s="1"/>
      <c r="S325" s="1"/>
      <c r="T325" s="1"/>
      <c r="U325" s="5"/>
      <c r="V325" s="6"/>
      <c r="W325" s="6"/>
      <c r="X325" s="6"/>
      <c r="Y325" s="6"/>
      <c r="Z325" s="6"/>
      <c r="AA325" s="6"/>
      <c r="AB325" s="5"/>
      <c r="AC325" s="174"/>
      <c r="AD325" s="175"/>
    </row>
    <row r="326" hidden="1">
      <c r="A326" s="1"/>
      <c r="B326" s="1"/>
      <c r="C326" s="1"/>
      <c r="D326" s="1"/>
      <c r="E326" s="1"/>
      <c r="F326" s="1"/>
      <c r="G326" s="1"/>
      <c r="H326" s="1"/>
      <c r="I326" s="1"/>
      <c r="J326" s="1"/>
      <c r="K326" s="1"/>
      <c r="L326" s="1"/>
      <c r="M326" s="1"/>
      <c r="N326" s="1"/>
      <c r="O326" s="1"/>
      <c r="P326" s="1"/>
      <c r="Q326" s="1"/>
      <c r="R326" s="1"/>
      <c r="S326" s="1"/>
      <c r="T326" s="1"/>
      <c r="U326" s="5"/>
      <c r="V326" s="6"/>
      <c r="W326" s="6"/>
      <c r="X326" s="6"/>
      <c r="Y326" s="6"/>
      <c r="Z326" s="6"/>
      <c r="AA326" s="6"/>
      <c r="AB326" s="5"/>
      <c r="AC326" s="174"/>
      <c r="AD326" s="175"/>
    </row>
    <row r="327" hidden="1">
      <c r="A327" s="1"/>
      <c r="B327" s="1"/>
      <c r="C327" s="1"/>
      <c r="D327" s="1"/>
      <c r="E327" s="1"/>
      <c r="F327" s="1"/>
      <c r="G327" s="1"/>
      <c r="H327" s="1"/>
      <c r="I327" s="1"/>
      <c r="J327" s="1"/>
      <c r="K327" s="1"/>
      <c r="L327" s="1"/>
      <c r="M327" s="1"/>
      <c r="N327" s="1"/>
      <c r="O327" s="1"/>
      <c r="P327" s="1"/>
      <c r="Q327" s="1"/>
      <c r="R327" s="1"/>
      <c r="S327" s="1"/>
      <c r="T327" s="1"/>
      <c r="U327" s="5"/>
      <c r="V327" s="6"/>
      <c r="W327" s="6"/>
      <c r="X327" s="6"/>
      <c r="Y327" s="6"/>
      <c r="Z327" s="6"/>
      <c r="AA327" s="6"/>
      <c r="AB327" s="5"/>
      <c r="AC327" s="174"/>
      <c r="AD327" s="175"/>
    </row>
    <row r="328" hidden="1">
      <c r="A328" s="1"/>
      <c r="B328" s="1"/>
      <c r="C328" s="1"/>
      <c r="D328" s="1"/>
      <c r="E328" s="1"/>
      <c r="F328" s="1"/>
      <c r="G328" s="1"/>
      <c r="H328" s="1"/>
      <c r="I328" s="1"/>
      <c r="J328" s="1"/>
      <c r="K328" s="1"/>
      <c r="L328" s="1"/>
      <c r="M328" s="1"/>
      <c r="N328" s="1"/>
      <c r="O328" s="1"/>
      <c r="P328" s="1"/>
      <c r="Q328" s="1"/>
      <c r="R328" s="1"/>
      <c r="S328" s="1"/>
      <c r="T328" s="1"/>
      <c r="U328" s="5"/>
      <c r="V328" s="6"/>
      <c r="W328" s="6"/>
      <c r="X328" s="6"/>
      <c r="Y328" s="6"/>
      <c r="Z328" s="6"/>
      <c r="AA328" s="6"/>
      <c r="AB328" s="5"/>
      <c r="AC328" s="174"/>
      <c r="AD328" s="175"/>
    </row>
    <row r="329" hidden="1">
      <c r="A329" s="1"/>
      <c r="B329" s="1"/>
      <c r="C329" s="1"/>
      <c r="D329" s="1"/>
      <c r="E329" s="1"/>
      <c r="F329" s="1"/>
      <c r="G329" s="1"/>
      <c r="H329" s="1"/>
      <c r="I329" s="1"/>
      <c r="J329" s="1"/>
      <c r="K329" s="1"/>
      <c r="L329" s="1"/>
      <c r="M329" s="1"/>
      <c r="N329" s="1"/>
      <c r="O329" s="1"/>
      <c r="P329" s="1"/>
      <c r="Q329" s="1"/>
      <c r="R329" s="1"/>
      <c r="S329" s="1"/>
      <c r="T329" s="1"/>
      <c r="U329" s="5"/>
      <c r="V329" s="6"/>
      <c r="W329" s="6"/>
      <c r="X329" s="6"/>
      <c r="Y329" s="6"/>
      <c r="Z329" s="6"/>
      <c r="AA329" s="6"/>
      <c r="AB329" s="5"/>
      <c r="AC329" s="174"/>
      <c r="AD329" s="175"/>
    </row>
    <row r="330" hidden="1">
      <c r="A330" s="1"/>
      <c r="B330" s="1"/>
      <c r="C330" s="1"/>
      <c r="D330" s="1"/>
      <c r="E330" s="1"/>
      <c r="F330" s="1"/>
      <c r="G330" s="1"/>
      <c r="H330" s="1"/>
      <c r="I330" s="1"/>
      <c r="J330" s="1"/>
      <c r="K330" s="1"/>
      <c r="L330" s="1"/>
      <c r="M330" s="1"/>
      <c r="N330" s="1"/>
      <c r="O330" s="1"/>
      <c r="P330" s="1"/>
      <c r="Q330" s="1"/>
      <c r="R330" s="1"/>
      <c r="S330" s="1"/>
      <c r="T330" s="1"/>
      <c r="U330" s="5"/>
      <c r="V330" s="6"/>
      <c r="W330" s="6"/>
      <c r="X330" s="6"/>
      <c r="Y330" s="6"/>
      <c r="Z330" s="6"/>
      <c r="AA330" s="6"/>
      <c r="AB330" s="5"/>
      <c r="AC330" s="174"/>
      <c r="AD330" s="175"/>
    </row>
    <row r="331" hidden="1">
      <c r="A331" s="1"/>
      <c r="B331" s="1"/>
      <c r="C331" s="1"/>
      <c r="D331" s="1"/>
      <c r="E331" s="1"/>
      <c r="F331" s="1"/>
      <c r="G331" s="1"/>
      <c r="H331" s="1"/>
      <c r="I331" s="1"/>
      <c r="J331" s="1"/>
      <c r="K331" s="1"/>
      <c r="L331" s="1"/>
      <c r="M331" s="1"/>
      <c r="N331" s="1"/>
      <c r="O331" s="1"/>
      <c r="P331" s="1"/>
      <c r="Q331" s="1"/>
      <c r="R331" s="1"/>
      <c r="S331" s="1"/>
      <c r="T331" s="1"/>
      <c r="U331" s="5"/>
      <c r="V331" s="6"/>
      <c r="W331" s="6"/>
      <c r="X331" s="6"/>
      <c r="Y331" s="6"/>
      <c r="Z331" s="6"/>
      <c r="AA331" s="6"/>
      <c r="AB331" s="5"/>
      <c r="AC331" s="174"/>
      <c r="AD331" s="175"/>
    </row>
    <row r="332" hidden="1">
      <c r="A332" s="1"/>
      <c r="B332" s="1"/>
      <c r="C332" s="1"/>
      <c r="D332" s="1"/>
      <c r="E332" s="1"/>
      <c r="F332" s="1"/>
      <c r="G332" s="1"/>
      <c r="H332" s="1"/>
      <c r="I332" s="1"/>
      <c r="J332" s="1"/>
      <c r="K332" s="1"/>
      <c r="L332" s="1"/>
      <c r="M332" s="1"/>
      <c r="N332" s="1"/>
      <c r="O332" s="1"/>
      <c r="P332" s="1"/>
      <c r="Q332" s="1"/>
      <c r="R332" s="1"/>
      <c r="S332" s="1"/>
      <c r="T332" s="1"/>
      <c r="U332" s="5"/>
      <c r="V332" s="6"/>
      <c r="W332" s="6"/>
      <c r="X332" s="6"/>
      <c r="Y332" s="6"/>
      <c r="Z332" s="6"/>
      <c r="AA332" s="6"/>
      <c r="AB332" s="5"/>
      <c r="AC332" s="174"/>
      <c r="AD332" s="175"/>
    </row>
    <row r="333" hidden="1">
      <c r="A333" s="1"/>
      <c r="B333" s="1"/>
      <c r="C333" s="1"/>
      <c r="D333" s="1"/>
      <c r="E333" s="1"/>
      <c r="F333" s="1"/>
      <c r="G333" s="1"/>
      <c r="H333" s="1"/>
      <c r="I333" s="1"/>
      <c r="J333" s="1"/>
      <c r="K333" s="1"/>
      <c r="L333" s="1"/>
      <c r="M333" s="1"/>
      <c r="N333" s="1"/>
      <c r="O333" s="1"/>
      <c r="P333" s="1"/>
      <c r="Q333" s="1"/>
      <c r="R333" s="1"/>
      <c r="S333" s="1"/>
      <c r="T333" s="1"/>
      <c r="U333" s="5"/>
      <c r="V333" s="6"/>
      <c r="W333" s="6"/>
      <c r="X333" s="6"/>
      <c r="Y333" s="6"/>
      <c r="Z333" s="6"/>
      <c r="AA333" s="6"/>
      <c r="AB333" s="5"/>
      <c r="AC333" s="174"/>
      <c r="AD333" s="175"/>
    </row>
    <row r="334" hidden="1">
      <c r="A334" s="1"/>
      <c r="B334" s="1"/>
      <c r="C334" s="1"/>
      <c r="D334" s="1"/>
      <c r="E334" s="1"/>
      <c r="F334" s="1"/>
      <c r="G334" s="1"/>
      <c r="H334" s="1"/>
      <c r="I334" s="1"/>
      <c r="J334" s="1"/>
      <c r="K334" s="1"/>
      <c r="L334" s="1"/>
      <c r="M334" s="1"/>
      <c r="N334" s="1"/>
      <c r="O334" s="1"/>
      <c r="P334" s="1"/>
      <c r="Q334" s="1"/>
      <c r="R334" s="1"/>
      <c r="S334" s="1"/>
      <c r="T334" s="1"/>
      <c r="U334" s="5"/>
      <c r="V334" s="6"/>
      <c r="W334" s="6"/>
      <c r="X334" s="6"/>
      <c r="Y334" s="6"/>
      <c r="Z334" s="6"/>
      <c r="AA334" s="6"/>
      <c r="AB334" s="5"/>
      <c r="AC334" s="174"/>
      <c r="AD334" s="175"/>
    </row>
    <row r="335" hidden="1">
      <c r="A335" s="1"/>
      <c r="B335" s="1"/>
      <c r="C335" s="1"/>
      <c r="D335" s="1"/>
      <c r="E335" s="1"/>
      <c r="F335" s="1"/>
      <c r="G335" s="1"/>
      <c r="H335" s="1"/>
      <c r="I335" s="1"/>
      <c r="J335" s="1"/>
      <c r="K335" s="1"/>
      <c r="L335" s="1"/>
      <c r="M335" s="1"/>
      <c r="N335" s="1"/>
      <c r="O335" s="1"/>
      <c r="P335" s="1"/>
      <c r="Q335" s="1"/>
      <c r="R335" s="1"/>
      <c r="S335" s="1"/>
      <c r="T335" s="1"/>
      <c r="U335" s="5"/>
      <c r="V335" s="6"/>
      <c r="W335" s="6"/>
      <c r="X335" s="6"/>
      <c r="Y335" s="6"/>
      <c r="Z335" s="6"/>
      <c r="AA335" s="6"/>
      <c r="AB335" s="5"/>
      <c r="AC335" s="174"/>
      <c r="AD335" s="175"/>
    </row>
    <row r="336" hidden="1">
      <c r="A336" s="1"/>
      <c r="B336" s="1"/>
      <c r="C336" s="1"/>
      <c r="D336" s="1"/>
      <c r="E336" s="1"/>
      <c r="F336" s="1"/>
      <c r="G336" s="1"/>
      <c r="H336" s="1"/>
      <c r="I336" s="1"/>
      <c r="J336" s="1"/>
      <c r="K336" s="1"/>
      <c r="L336" s="1"/>
      <c r="M336" s="1"/>
      <c r="N336" s="1"/>
      <c r="O336" s="1"/>
      <c r="P336" s="1"/>
      <c r="Q336" s="1"/>
      <c r="R336" s="1"/>
      <c r="S336" s="1"/>
      <c r="T336" s="1"/>
      <c r="U336" s="5"/>
      <c r="V336" s="6"/>
      <c r="W336" s="6"/>
      <c r="X336" s="6"/>
      <c r="Y336" s="6"/>
      <c r="Z336" s="6"/>
      <c r="AA336" s="6"/>
      <c r="AB336" s="5"/>
      <c r="AC336" s="174"/>
      <c r="AD336" s="175"/>
    </row>
    <row r="337" hidden="1">
      <c r="A337" s="1"/>
      <c r="B337" s="1"/>
      <c r="C337" s="1"/>
      <c r="D337" s="1"/>
      <c r="E337" s="1"/>
      <c r="F337" s="1"/>
      <c r="G337" s="1"/>
      <c r="H337" s="1"/>
      <c r="I337" s="1"/>
      <c r="J337" s="1"/>
      <c r="K337" s="1"/>
      <c r="L337" s="1"/>
      <c r="M337" s="1"/>
      <c r="N337" s="1"/>
      <c r="O337" s="1"/>
      <c r="P337" s="1"/>
      <c r="Q337" s="1"/>
      <c r="R337" s="1"/>
      <c r="S337" s="1"/>
      <c r="T337" s="1"/>
      <c r="U337" s="5"/>
      <c r="V337" s="6"/>
      <c r="W337" s="6"/>
      <c r="X337" s="6"/>
      <c r="Y337" s="6"/>
      <c r="Z337" s="6"/>
      <c r="AA337" s="6"/>
      <c r="AB337" s="5"/>
      <c r="AC337" s="174"/>
      <c r="AD337" s="175"/>
    </row>
    <row r="338" hidden="1">
      <c r="A338" s="1"/>
      <c r="B338" s="1"/>
      <c r="C338" s="1"/>
      <c r="D338" s="1"/>
      <c r="E338" s="1"/>
      <c r="F338" s="1"/>
      <c r="G338" s="1"/>
      <c r="H338" s="1"/>
      <c r="I338" s="1"/>
      <c r="J338" s="1"/>
      <c r="K338" s="1"/>
      <c r="L338" s="1"/>
      <c r="M338" s="1"/>
      <c r="N338" s="1"/>
      <c r="O338" s="1"/>
      <c r="P338" s="1"/>
      <c r="Q338" s="1"/>
      <c r="R338" s="1"/>
      <c r="S338" s="1"/>
      <c r="T338" s="1"/>
      <c r="U338" s="5"/>
      <c r="V338" s="6"/>
      <c r="W338" s="6"/>
      <c r="X338" s="6"/>
      <c r="Y338" s="6"/>
      <c r="Z338" s="6"/>
      <c r="AA338" s="6"/>
      <c r="AB338" s="5"/>
      <c r="AC338" s="174"/>
      <c r="AD338" s="175"/>
    </row>
    <row r="339" hidden="1">
      <c r="A339" s="1"/>
      <c r="B339" s="1"/>
      <c r="C339" s="1"/>
      <c r="D339" s="1"/>
      <c r="E339" s="1"/>
      <c r="F339" s="1"/>
      <c r="G339" s="1"/>
      <c r="H339" s="1"/>
      <c r="I339" s="1"/>
      <c r="J339" s="1"/>
      <c r="K339" s="1"/>
      <c r="L339" s="1"/>
      <c r="M339" s="1"/>
      <c r="N339" s="1"/>
      <c r="O339" s="1"/>
      <c r="P339" s="1"/>
      <c r="Q339" s="1"/>
      <c r="R339" s="1"/>
      <c r="S339" s="1"/>
      <c r="T339" s="1"/>
      <c r="U339" s="5"/>
      <c r="V339" s="6"/>
      <c r="W339" s="6"/>
      <c r="X339" s="6"/>
      <c r="Y339" s="6"/>
      <c r="Z339" s="6"/>
      <c r="AA339" s="6"/>
      <c r="AB339" s="5"/>
      <c r="AC339" s="174"/>
      <c r="AD339" s="175"/>
    </row>
    <row r="340" hidden="1">
      <c r="A340" s="1"/>
      <c r="B340" s="1"/>
      <c r="C340" s="1"/>
      <c r="D340" s="1"/>
      <c r="E340" s="1"/>
      <c r="F340" s="1"/>
      <c r="G340" s="1"/>
      <c r="H340" s="1"/>
      <c r="I340" s="1"/>
      <c r="J340" s="1"/>
      <c r="K340" s="1"/>
      <c r="L340" s="1"/>
      <c r="M340" s="1"/>
      <c r="N340" s="1"/>
      <c r="O340" s="1"/>
      <c r="P340" s="1"/>
      <c r="Q340" s="1"/>
      <c r="R340" s="1"/>
      <c r="S340" s="1"/>
      <c r="T340" s="1"/>
      <c r="U340" s="5"/>
      <c r="V340" s="6"/>
      <c r="W340" s="6"/>
      <c r="X340" s="6"/>
      <c r="Y340" s="6"/>
      <c r="Z340" s="6"/>
      <c r="AA340" s="6"/>
      <c r="AB340" s="5"/>
      <c r="AC340" s="174"/>
      <c r="AD340" s="175"/>
    </row>
    <row r="341" hidden="1">
      <c r="A341" s="1"/>
      <c r="B341" s="1"/>
      <c r="C341" s="1"/>
      <c r="D341" s="1"/>
      <c r="E341" s="1"/>
      <c r="F341" s="1"/>
      <c r="G341" s="1"/>
      <c r="H341" s="1"/>
      <c r="I341" s="1"/>
      <c r="J341" s="1"/>
      <c r="K341" s="1"/>
      <c r="L341" s="1"/>
      <c r="M341" s="1"/>
      <c r="N341" s="1"/>
      <c r="O341" s="1"/>
      <c r="P341" s="1"/>
      <c r="Q341" s="1"/>
      <c r="R341" s="1"/>
      <c r="S341" s="1"/>
      <c r="T341" s="1"/>
      <c r="U341" s="5"/>
      <c r="V341" s="6"/>
      <c r="W341" s="6"/>
      <c r="X341" s="6"/>
      <c r="Y341" s="6"/>
      <c r="Z341" s="6"/>
      <c r="AA341" s="6"/>
      <c r="AB341" s="5"/>
      <c r="AC341" s="174"/>
      <c r="AD341" s="175"/>
    </row>
    <row r="342" hidden="1">
      <c r="A342" s="1"/>
      <c r="B342" s="1"/>
      <c r="C342" s="1"/>
      <c r="D342" s="1"/>
      <c r="E342" s="1"/>
      <c r="F342" s="1"/>
      <c r="G342" s="1"/>
      <c r="H342" s="1"/>
      <c r="I342" s="1"/>
      <c r="J342" s="1"/>
      <c r="K342" s="1"/>
      <c r="L342" s="1"/>
      <c r="M342" s="1"/>
      <c r="N342" s="1"/>
      <c r="O342" s="1"/>
      <c r="P342" s="1"/>
      <c r="Q342" s="1"/>
      <c r="R342" s="1"/>
      <c r="S342" s="1"/>
      <c r="T342" s="1"/>
      <c r="U342" s="5"/>
      <c r="V342" s="6"/>
      <c r="W342" s="6"/>
      <c r="X342" s="6"/>
      <c r="Y342" s="6"/>
      <c r="Z342" s="6"/>
      <c r="AA342" s="6"/>
      <c r="AB342" s="5"/>
      <c r="AC342" s="174"/>
      <c r="AD342" s="175"/>
    </row>
    <row r="343" hidden="1">
      <c r="A343" s="1"/>
      <c r="B343" s="1"/>
      <c r="C343" s="1"/>
      <c r="D343" s="1"/>
      <c r="E343" s="1"/>
      <c r="F343" s="1"/>
      <c r="G343" s="1"/>
      <c r="H343" s="1"/>
      <c r="I343" s="1"/>
      <c r="J343" s="1"/>
      <c r="K343" s="1"/>
      <c r="L343" s="1"/>
      <c r="M343" s="1"/>
      <c r="N343" s="1"/>
      <c r="O343" s="1"/>
      <c r="P343" s="1"/>
      <c r="Q343" s="1"/>
      <c r="R343" s="1"/>
      <c r="S343" s="1"/>
      <c r="T343" s="1"/>
      <c r="U343" s="5"/>
      <c r="V343" s="6"/>
      <c r="W343" s="6"/>
      <c r="X343" s="6"/>
      <c r="Y343" s="6"/>
      <c r="Z343" s="6"/>
      <c r="AA343" s="6"/>
      <c r="AB343" s="5"/>
      <c r="AC343" s="174"/>
      <c r="AD343" s="175"/>
    </row>
    <row r="344" hidden="1">
      <c r="A344" s="1"/>
      <c r="B344" s="1"/>
      <c r="C344" s="1"/>
      <c r="D344" s="1"/>
      <c r="E344" s="1"/>
      <c r="F344" s="1"/>
      <c r="G344" s="1"/>
      <c r="H344" s="1"/>
      <c r="I344" s="1"/>
      <c r="J344" s="1"/>
      <c r="K344" s="1"/>
      <c r="L344" s="1"/>
      <c r="M344" s="1"/>
      <c r="N344" s="1"/>
      <c r="O344" s="1"/>
      <c r="P344" s="1"/>
      <c r="Q344" s="1"/>
      <c r="R344" s="1"/>
      <c r="S344" s="1"/>
      <c r="T344" s="1"/>
      <c r="U344" s="5"/>
      <c r="V344" s="6"/>
      <c r="W344" s="6"/>
      <c r="X344" s="6"/>
      <c r="Y344" s="6"/>
      <c r="Z344" s="6"/>
      <c r="AA344" s="6"/>
      <c r="AB344" s="5"/>
      <c r="AC344" s="174"/>
      <c r="AD344" s="175"/>
    </row>
    <row r="345" hidden="1">
      <c r="A345" s="1"/>
      <c r="B345" s="1"/>
      <c r="C345" s="1"/>
      <c r="D345" s="1"/>
      <c r="E345" s="1"/>
      <c r="F345" s="1"/>
      <c r="G345" s="1"/>
      <c r="H345" s="1"/>
      <c r="I345" s="1"/>
      <c r="J345" s="1"/>
      <c r="K345" s="1"/>
      <c r="L345" s="1"/>
      <c r="M345" s="1"/>
      <c r="N345" s="1"/>
      <c r="O345" s="1"/>
      <c r="P345" s="1"/>
      <c r="Q345" s="1"/>
      <c r="R345" s="1"/>
      <c r="S345" s="1"/>
      <c r="T345" s="1"/>
      <c r="U345" s="5"/>
      <c r="V345" s="6"/>
      <c r="W345" s="6"/>
      <c r="X345" s="6"/>
      <c r="Y345" s="6"/>
      <c r="Z345" s="6"/>
      <c r="AA345" s="6"/>
      <c r="AB345" s="5"/>
      <c r="AC345" s="174"/>
      <c r="AD345" s="175"/>
    </row>
    <row r="346" hidden="1">
      <c r="A346" s="1"/>
      <c r="B346" s="1"/>
      <c r="C346" s="1"/>
      <c r="D346" s="1"/>
      <c r="E346" s="1"/>
      <c r="F346" s="1"/>
      <c r="G346" s="1"/>
      <c r="H346" s="1"/>
      <c r="I346" s="1"/>
      <c r="J346" s="1"/>
      <c r="K346" s="1"/>
      <c r="L346" s="1"/>
      <c r="M346" s="1"/>
      <c r="N346" s="1"/>
      <c r="O346" s="1"/>
      <c r="P346" s="1"/>
      <c r="Q346" s="1"/>
      <c r="R346" s="1"/>
      <c r="S346" s="1"/>
      <c r="T346" s="1"/>
      <c r="U346" s="5"/>
      <c r="V346" s="6"/>
      <c r="W346" s="6"/>
      <c r="X346" s="6"/>
      <c r="Y346" s="6"/>
      <c r="Z346" s="6"/>
      <c r="AA346" s="6"/>
      <c r="AB346" s="5"/>
      <c r="AC346" s="174"/>
      <c r="AD346" s="175"/>
    </row>
    <row r="347" hidden="1">
      <c r="A347" s="1"/>
      <c r="B347" s="1"/>
      <c r="C347" s="1"/>
      <c r="D347" s="1"/>
      <c r="E347" s="1"/>
      <c r="F347" s="1"/>
      <c r="G347" s="1"/>
      <c r="H347" s="1"/>
      <c r="I347" s="1"/>
      <c r="J347" s="1"/>
      <c r="K347" s="1"/>
      <c r="L347" s="1"/>
      <c r="M347" s="1"/>
      <c r="N347" s="1"/>
      <c r="O347" s="1"/>
      <c r="P347" s="1"/>
      <c r="Q347" s="1"/>
      <c r="R347" s="1"/>
      <c r="S347" s="1"/>
      <c r="T347" s="1"/>
      <c r="U347" s="5"/>
      <c r="V347" s="6"/>
      <c r="W347" s="6"/>
      <c r="X347" s="6"/>
      <c r="Y347" s="6"/>
      <c r="Z347" s="6"/>
      <c r="AA347" s="6"/>
      <c r="AB347" s="5"/>
      <c r="AC347" s="174"/>
      <c r="AD347" s="175"/>
    </row>
    <row r="348" hidden="1">
      <c r="A348" s="1"/>
      <c r="B348" s="1"/>
      <c r="C348" s="1"/>
      <c r="D348" s="1"/>
      <c r="E348" s="1"/>
      <c r="F348" s="1"/>
      <c r="G348" s="1"/>
      <c r="H348" s="1"/>
      <c r="I348" s="1"/>
      <c r="J348" s="1"/>
      <c r="K348" s="1"/>
      <c r="L348" s="1"/>
      <c r="M348" s="1"/>
      <c r="N348" s="1"/>
      <c r="O348" s="1"/>
      <c r="P348" s="1"/>
      <c r="Q348" s="1"/>
      <c r="R348" s="1"/>
      <c r="S348" s="1"/>
      <c r="T348" s="1"/>
      <c r="U348" s="5"/>
      <c r="V348" s="6"/>
      <c r="W348" s="6"/>
      <c r="X348" s="6"/>
      <c r="Y348" s="6"/>
      <c r="Z348" s="6"/>
      <c r="AA348" s="6"/>
      <c r="AB348" s="5"/>
      <c r="AC348" s="174"/>
      <c r="AD348" s="175"/>
    </row>
    <row r="349" hidden="1">
      <c r="A349" s="1"/>
      <c r="B349" s="1"/>
      <c r="C349" s="1"/>
      <c r="D349" s="1"/>
      <c r="E349" s="1"/>
      <c r="F349" s="1"/>
      <c r="G349" s="1"/>
      <c r="H349" s="1"/>
      <c r="I349" s="1"/>
      <c r="J349" s="1"/>
      <c r="K349" s="1"/>
      <c r="L349" s="1"/>
      <c r="M349" s="1"/>
      <c r="N349" s="1"/>
      <c r="O349" s="1"/>
      <c r="P349" s="1"/>
      <c r="Q349" s="1"/>
      <c r="R349" s="1"/>
      <c r="S349" s="1"/>
      <c r="T349" s="1"/>
      <c r="U349" s="5"/>
      <c r="V349" s="6"/>
      <c r="W349" s="6"/>
      <c r="X349" s="6"/>
      <c r="Y349" s="6"/>
      <c r="Z349" s="6"/>
      <c r="AA349" s="6"/>
      <c r="AB349" s="5"/>
      <c r="AC349" s="174"/>
      <c r="AD349" s="175"/>
    </row>
    <row r="350" hidden="1">
      <c r="A350" s="1"/>
      <c r="B350" s="1"/>
      <c r="C350" s="1"/>
      <c r="D350" s="1"/>
      <c r="E350" s="1"/>
      <c r="F350" s="1"/>
      <c r="G350" s="1"/>
      <c r="H350" s="1"/>
      <c r="I350" s="1"/>
      <c r="J350" s="1"/>
      <c r="K350" s="1"/>
      <c r="L350" s="1"/>
      <c r="M350" s="1"/>
      <c r="N350" s="1"/>
      <c r="O350" s="1"/>
      <c r="P350" s="1"/>
      <c r="Q350" s="1"/>
      <c r="R350" s="1"/>
      <c r="S350" s="1"/>
      <c r="T350" s="1"/>
      <c r="U350" s="5"/>
      <c r="V350" s="6"/>
      <c r="W350" s="6"/>
      <c r="X350" s="6"/>
      <c r="Y350" s="6"/>
      <c r="Z350" s="6"/>
      <c r="AA350" s="6"/>
      <c r="AB350" s="5"/>
      <c r="AC350" s="174"/>
      <c r="AD350" s="175"/>
    </row>
    <row r="351" hidden="1">
      <c r="A351" s="1"/>
      <c r="B351" s="1"/>
      <c r="C351" s="1"/>
      <c r="D351" s="1"/>
      <c r="E351" s="1"/>
      <c r="F351" s="1"/>
      <c r="G351" s="1"/>
      <c r="H351" s="1"/>
      <c r="I351" s="1"/>
      <c r="J351" s="1"/>
      <c r="K351" s="1"/>
      <c r="L351" s="1"/>
      <c r="M351" s="1"/>
      <c r="N351" s="1"/>
      <c r="O351" s="1"/>
      <c r="P351" s="1"/>
      <c r="Q351" s="1"/>
      <c r="R351" s="1"/>
      <c r="S351" s="1"/>
      <c r="T351" s="1"/>
      <c r="U351" s="5"/>
      <c r="V351" s="6"/>
      <c r="W351" s="6"/>
      <c r="X351" s="6"/>
      <c r="Y351" s="6"/>
      <c r="Z351" s="6"/>
      <c r="AA351" s="6"/>
      <c r="AB351" s="5"/>
      <c r="AC351" s="174"/>
      <c r="AD351" s="175"/>
    </row>
    <row r="352" hidden="1">
      <c r="A352" s="1"/>
      <c r="B352" s="1"/>
      <c r="C352" s="1"/>
      <c r="D352" s="1"/>
      <c r="E352" s="1"/>
      <c r="F352" s="1"/>
      <c r="G352" s="1"/>
      <c r="H352" s="1"/>
      <c r="I352" s="1"/>
      <c r="J352" s="1"/>
      <c r="K352" s="1"/>
      <c r="L352" s="1"/>
      <c r="M352" s="1"/>
      <c r="N352" s="1"/>
      <c r="O352" s="1"/>
      <c r="P352" s="1"/>
      <c r="Q352" s="1"/>
      <c r="R352" s="1"/>
      <c r="S352" s="1"/>
      <c r="T352" s="1"/>
      <c r="U352" s="5"/>
      <c r="V352" s="6"/>
      <c r="W352" s="6"/>
      <c r="X352" s="6"/>
      <c r="Y352" s="6"/>
      <c r="Z352" s="6"/>
      <c r="AA352" s="6"/>
      <c r="AB352" s="5"/>
      <c r="AC352" s="174"/>
      <c r="AD352" s="175"/>
    </row>
    <row r="353" hidden="1">
      <c r="A353" s="1"/>
      <c r="B353" s="1"/>
      <c r="C353" s="1"/>
      <c r="D353" s="1"/>
      <c r="E353" s="1"/>
      <c r="F353" s="1"/>
      <c r="G353" s="1"/>
      <c r="H353" s="1"/>
      <c r="I353" s="1"/>
      <c r="J353" s="1"/>
      <c r="K353" s="1"/>
      <c r="L353" s="1"/>
      <c r="M353" s="1"/>
      <c r="N353" s="1"/>
      <c r="O353" s="1"/>
      <c r="P353" s="1"/>
      <c r="Q353" s="1"/>
      <c r="R353" s="1"/>
      <c r="S353" s="1"/>
      <c r="T353" s="1"/>
      <c r="U353" s="5"/>
      <c r="V353" s="6"/>
      <c r="W353" s="6"/>
      <c r="X353" s="6"/>
      <c r="Y353" s="6"/>
      <c r="Z353" s="6"/>
      <c r="AA353" s="6"/>
      <c r="AB353" s="5"/>
      <c r="AC353" s="174"/>
      <c r="AD353" s="175"/>
    </row>
    <row r="354" hidden="1">
      <c r="A354" s="1"/>
      <c r="B354" s="1"/>
      <c r="C354" s="1"/>
      <c r="D354" s="1"/>
      <c r="E354" s="1"/>
      <c r="F354" s="1"/>
      <c r="G354" s="1"/>
      <c r="H354" s="1"/>
      <c r="I354" s="1"/>
      <c r="J354" s="1"/>
      <c r="K354" s="1"/>
      <c r="L354" s="1"/>
      <c r="M354" s="1"/>
      <c r="N354" s="1"/>
      <c r="O354" s="1"/>
      <c r="P354" s="1"/>
      <c r="Q354" s="1"/>
      <c r="R354" s="1"/>
      <c r="S354" s="1"/>
      <c r="T354" s="1"/>
      <c r="U354" s="5"/>
      <c r="V354" s="6"/>
      <c r="W354" s="6"/>
      <c r="X354" s="6"/>
      <c r="Y354" s="6"/>
      <c r="Z354" s="6"/>
      <c r="AA354" s="6"/>
      <c r="AB354" s="5"/>
      <c r="AC354" s="174"/>
      <c r="AD354" s="175"/>
    </row>
    <row r="355" hidden="1">
      <c r="A355" s="1"/>
      <c r="B355" s="1"/>
      <c r="C355" s="1"/>
      <c r="D355" s="1"/>
      <c r="E355" s="1"/>
      <c r="F355" s="1"/>
      <c r="G355" s="1"/>
      <c r="H355" s="1"/>
      <c r="I355" s="1"/>
      <c r="J355" s="1"/>
      <c r="K355" s="1"/>
      <c r="L355" s="1"/>
      <c r="M355" s="1"/>
      <c r="N355" s="1"/>
      <c r="O355" s="1"/>
      <c r="P355" s="1"/>
      <c r="Q355" s="1"/>
      <c r="R355" s="1"/>
      <c r="S355" s="1"/>
      <c r="T355" s="1"/>
      <c r="U355" s="5"/>
      <c r="V355" s="6"/>
      <c r="W355" s="6"/>
      <c r="X355" s="6"/>
      <c r="Y355" s="6"/>
      <c r="Z355" s="6"/>
      <c r="AA355" s="6"/>
      <c r="AB355" s="5"/>
      <c r="AC355" s="174"/>
      <c r="AD355" s="175"/>
    </row>
    <row r="356" hidden="1">
      <c r="A356" s="1"/>
      <c r="B356" s="1"/>
      <c r="C356" s="1"/>
      <c r="D356" s="1"/>
      <c r="E356" s="1"/>
      <c r="F356" s="1"/>
      <c r="G356" s="1"/>
      <c r="H356" s="1"/>
      <c r="I356" s="1"/>
      <c r="J356" s="1"/>
      <c r="K356" s="1"/>
      <c r="L356" s="1"/>
      <c r="M356" s="1"/>
      <c r="N356" s="1"/>
      <c r="O356" s="1"/>
      <c r="P356" s="1"/>
      <c r="Q356" s="1"/>
      <c r="R356" s="1"/>
      <c r="S356" s="1"/>
      <c r="T356" s="1"/>
      <c r="U356" s="5"/>
      <c r="V356" s="6"/>
      <c r="W356" s="6"/>
      <c r="X356" s="6"/>
      <c r="Y356" s="6"/>
      <c r="Z356" s="6"/>
      <c r="AA356" s="6"/>
      <c r="AB356" s="5"/>
      <c r="AC356" s="174"/>
      <c r="AD356" s="175"/>
    </row>
    <row r="357" hidden="1">
      <c r="A357" s="1"/>
      <c r="B357" s="1"/>
      <c r="C357" s="1"/>
      <c r="D357" s="1"/>
      <c r="E357" s="1"/>
      <c r="F357" s="1"/>
      <c r="G357" s="1"/>
      <c r="H357" s="1"/>
      <c r="I357" s="1"/>
      <c r="J357" s="1"/>
      <c r="K357" s="1"/>
      <c r="L357" s="1"/>
      <c r="M357" s="1"/>
      <c r="N357" s="1"/>
      <c r="O357" s="1"/>
      <c r="P357" s="1"/>
      <c r="Q357" s="1"/>
      <c r="R357" s="1"/>
      <c r="S357" s="1"/>
      <c r="T357" s="1"/>
      <c r="U357" s="5"/>
      <c r="V357" s="6"/>
      <c r="W357" s="6"/>
      <c r="X357" s="6"/>
      <c r="Y357" s="6"/>
      <c r="Z357" s="6"/>
      <c r="AA357" s="6"/>
      <c r="AB357" s="5"/>
      <c r="AC357" s="174"/>
      <c r="AD357" s="175"/>
    </row>
    <row r="358" hidden="1">
      <c r="A358" s="1"/>
      <c r="B358" s="1"/>
      <c r="C358" s="1"/>
      <c r="D358" s="1"/>
      <c r="E358" s="1"/>
      <c r="F358" s="1"/>
      <c r="G358" s="1"/>
      <c r="H358" s="1"/>
      <c r="I358" s="1"/>
      <c r="J358" s="1"/>
      <c r="K358" s="1"/>
      <c r="L358" s="1"/>
      <c r="M358" s="1"/>
      <c r="N358" s="1"/>
      <c r="O358" s="1"/>
      <c r="P358" s="1"/>
      <c r="Q358" s="1"/>
      <c r="R358" s="1"/>
      <c r="S358" s="1"/>
      <c r="T358" s="1"/>
      <c r="U358" s="5"/>
      <c r="V358" s="6"/>
      <c r="W358" s="6"/>
      <c r="X358" s="6"/>
      <c r="Y358" s="6"/>
      <c r="Z358" s="6"/>
      <c r="AA358" s="6"/>
      <c r="AB358" s="5"/>
      <c r="AC358" s="174"/>
      <c r="AD358" s="175"/>
    </row>
    <row r="359" hidden="1">
      <c r="A359" s="1"/>
      <c r="B359" s="1"/>
      <c r="C359" s="1"/>
      <c r="D359" s="1"/>
      <c r="E359" s="1"/>
      <c r="F359" s="1"/>
      <c r="G359" s="1"/>
      <c r="H359" s="1"/>
      <c r="I359" s="1"/>
      <c r="J359" s="1"/>
      <c r="K359" s="1"/>
      <c r="L359" s="1"/>
      <c r="M359" s="1"/>
      <c r="N359" s="1"/>
      <c r="O359" s="1"/>
      <c r="P359" s="1"/>
      <c r="Q359" s="1"/>
      <c r="R359" s="1"/>
      <c r="S359" s="1"/>
      <c r="T359" s="1"/>
      <c r="U359" s="5"/>
      <c r="V359" s="6"/>
      <c r="W359" s="6"/>
      <c r="X359" s="6"/>
      <c r="Y359" s="6"/>
      <c r="Z359" s="6"/>
      <c r="AA359" s="6"/>
      <c r="AB359" s="5"/>
      <c r="AC359" s="174"/>
      <c r="AD359" s="175"/>
    </row>
    <row r="360" hidden="1">
      <c r="A360" s="1"/>
      <c r="B360" s="1"/>
      <c r="C360" s="1"/>
      <c r="D360" s="1"/>
      <c r="E360" s="1"/>
      <c r="F360" s="1"/>
      <c r="G360" s="1"/>
      <c r="H360" s="1"/>
      <c r="I360" s="1"/>
      <c r="J360" s="1"/>
      <c r="K360" s="1"/>
      <c r="L360" s="1"/>
      <c r="M360" s="1"/>
      <c r="N360" s="1"/>
      <c r="O360" s="1"/>
      <c r="P360" s="1"/>
      <c r="Q360" s="1"/>
      <c r="R360" s="1"/>
      <c r="S360" s="1"/>
      <c r="T360" s="1"/>
      <c r="U360" s="5"/>
      <c r="V360" s="6"/>
      <c r="W360" s="6"/>
      <c r="X360" s="6"/>
      <c r="Y360" s="6"/>
      <c r="Z360" s="6"/>
      <c r="AA360" s="6"/>
      <c r="AB360" s="5"/>
      <c r="AC360" s="174"/>
      <c r="AD360" s="175"/>
    </row>
    <row r="361" hidden="1">
      <c r="A361" s="1"/>
      <c r="B361" s="1"/>
      <c r="C361" s="1"/>
      <c r="D361" s="1"/>
      <c r="E361" s="1"/>
      <c r="F361" s="1"/>
      <c r="G361" s="1"/>
      <c r="H361" s="1"/>
      <c r="I361" s="1"/>
      <c r="J361" s="1"/>
      <c r="K361" s="1"/>
      <c r="L361" s="1"/>
      <c r="M361" s="1"/>
      <c r="N361" s="1"/>
      <c r="O361" s="1"/>
      <c r="P361" s="1"/>
      <c r="Q361" s="1"/>
      <c r="R361" s="1"/>
      <c r="S361" s="1"/>
      <c r="T361" s="1"/>
      <c r="U361" s="5"/>
      <c r="V361" s="6"/>
      <c r="W361" s="6"/>
      <c r="X361" s="6"/>
      <c r="Y361" s="6"/>
      <c r="Z361" s="6"/>
      <c r="AA361" s="6"/>
      <c r="AB361" s="5"/>
      <c r="AC361" s="174"/>
      <c r="AD361" s="175"/>
    </row>
    <row r="362" hidden="1">
      <c r="A362" s="1"/>
      <c r="B362" s="1"/>
      <c r="C362" s="1"/>
      <c r="D362" s="1"/>
      <c r="E362" s="1"/>
      <c r="F362" s="1"/>
      <c r="G362" s="1"/>
      <c r="H362" s="1"/>
      <c r="I362" s="1"/>
      <c r="J362" s="1"/>
      <c r="K362" s="1"/>
      <c r="L362" s="1"/>
      <c r="M362" s="1"/>
      <c r="N362" s="1"/>
      <c r="O362" s="1"/>
      <c r="P362" s="1"/>
      <c r="Q362" s="1"/>
      <c r="R362" s="1"/>
      <c r="S362" s="1"/>
      <c r="T362" s="1"/>
      <c r="U362" s="5"/>
      <c r="V362" s="6"/>
      <c r="W362" s="6"/>
      <c r="X362" s="6"/>
      <c r="Y362" s="6"/>
      <c r="Z362" s="6"/>
      <c r="AA362" s="6"/>
      <c r="AB362" s="5"/>
      <c r="AC362" s="174"/>
      <c r="AD362" s="175"/>
    </row>
    <row r="363" hidden="1">
      <c r="A363" s="1"/>
      <c r="B363" s="1"/>
      <c r="C363" s="1"/>
      <c r="D363" s="1"/>
      <c r="E363" s="1"/>
      <c r="F363" s="1"/>
      <c r="G363" s="1"/>
      <c r="H363" s="1"/>
      <c r="I363" s="1"/>
      <c r="J363" s="1"/>
      <c r="K363" s="1"/>
      <c r="L363" s="1"/>
      <c r="M363" s="1"/>
      <c r="N363" s="1"/>
      <c r="O363" s="1"/>
      <c r="P363" s="1"/>
      <c r="Q363" s="1"/>
      <c r="R363" s="1"/>
      <c r="S363" s="1"/>
      <c r="T363" s="1"/>
      <c r="U363" s="5"/>
      <c r="V363" s="6"/>
      <c r="W363" s="6"/>
      <c r="X363" s="6"/>
      <c r="Y363" s="6"/>
      <c r="Z363" s="6"/>
      <c r="AA363" s="6"/>
      <c r="AB363" s="5"/>
      <c r="AC363" s="174"/>
      <c r="AD363" s="175"/>
    </row>
    <row r="364" hidden="1">
      <c r="A364" s="1"/>
      <c r="B364" s="1"/>
      <c r="C364" s="1"/>
      <c r="D364" s="1"/>
      <c r="E364" s="1"/>
      <c r="F364" s="1"/>
      <c r="G364" s="1"/>
      <c r="H364" s="1"/>
      <c r="I364" s="1"/>
      <c r="J364" s="1"/>
      <c r="K364" s="1"/>
      <c r="L364" s="1"/>
      <c r="M364" s="1"/>
      <c r="N364" s="1"/>
      <c r="O364" s="1"/>
      <c r="P364" s="1"/>
      <c r="Q364" s="1"/>
      <c r="R364" s="1"/>
      <c r="S364" s="1"/>
      <c r="T364" s="1"/>
      <c r="U364" s="5"/>
      <c r="V364" s="6"/>
      <c r="W364" s="6"/>
      <c r="X364" s="6"/>
      <c r="Y364" s="6"/>
      <c r="Z364" s="6"/>
      <c r="AA364" s="6"/>
      <c r="AB364" s="5"/>
      <c r="AC364" s="174"/>
      <c r="AD364" s="175"/>
    </row>
    <row r="365" hidden="1">
      <c r="A365" s="1"/>
      <c r="B365" s="1"/>
      <c r="C365" s="1"/>
      <c r="D365" s="1"/>
      <c r="E365" s="1"/>
      <c r="F365" s="1"/>
      <c r="G365" s="1"/>
      <c r="H365" s="1"/>
      <c r="I365" s="1"/>
      <c r="J365" s="1"/>
      <c r="K365" s="1"/>
      <c r="L365" s="1"/>
      <c r="M365" s="1"/>
      <c r="N365" s="1"/>
      <c r="O365" s="1"/>
      <c r="P365" s="1"/>
      <c r="Q365" s="1"/>
      <c r="R365" s="1"/>
      <c r="S365" s="1"/>
      <c r="T365" s="1"/>
      <c r="U365" s="5"/>
      <c r="V365" s="6"/>
      <c r="W365" s="6"/>
      <c r="X365" s="6"/>
      <c r="Y365" s="6"/>
      <c r="Z365" s="6"/>
      <c r="AA365" s="6"/>
      <c r="AB365" s="5"/>
      <c r="AC365" s="174"/>
      <c r="AD365" s="175"/>
    </row>
    <row r="366" hidden="1">
      <c r="A366" s="1"/>
      <c r="B366" s="1"/>
      <c r="C366" s="1"/>
      <c r="D366" s="1"/>
      <c r="E366" s="1"/>
      <c r="F366" s="1"/>
      <c r="G366" s="1"/>
      <c r="H366" s="1"/>
      <c r="I366" s="1"/>
      <c r="J366" s="1"/>
      <c r="K366" s="1"/>
      <c r="L366" s="1"/>
      <c r="M366" s="1"/>
      <c r="N366" s="1"/>
      <c r="O366" s="1"/>
      <c r="P366" s="1"/>
      <c r="Q366" s="1"/>
      <c r="R366" s="1"/>
      <c r="S366" s="1"/>
      <c r="T366" s="1"/>
      <c r="U366" s="5"/>
      <c r="V366" s="6"/>
      <c r="W366" s="6"/>
      <c r="X366" s="6"/>
      <c r="Y366" s="6"/>
      <c r="Z366" s="6"/>
      <c r="AA366" s="6"/>
      <c r="AB366" s="5"/>
      <c r="AC366" s="174"/>
      <c r="AD366" s="175"/>
    </row>
    <row r="367" hidden="1">
      <c r="A367" s="1"/>
      <c r="B367" s="1"/>
      <c r="C367" s="1"/>
      <c r="D367" s="1"/>
      <c r="E367" s="1"/>
      <c r="F367" s="1"/>
      <c r="G367" s="1"/>
      <c r="H367" s="1"/>
      <c r="I367" s="1"/>
      <c r="J367" s="1"/>
      <c r="K367" s="1"/>
      <c r="L367" s="1"/>
      <c r="M367" s="1"/>
      <c r="N367" s="1"/>
      <c r="O367" s="1"/>
      <c r="P367" s="1"/>
      <c r="Q367" s="1"/>
      <c r="R367" s="1"/>
      <c r="S367" s="1"/>
      <c r="T367" s="1"/>
      <c r="U367" s="5"/>
      <c r="V367" s="6"/>
      <c r="W367" s="6"/>
      <c r="X367" s="6"/>
      <c r="Y367" s="6"/>
      <c r="Z367" s="6"/>
      <c r="AA367" s="6"/>
      <c r="AB367" s="5"/>
      <c r="AC367" s="174"/>
      <c r="AD367" s="175"/>
    </row>
    <row r="368" hidden="1">
      <c r="A368" s="1"/>
      <c r="B368" s="1"/>
      <c r="C368" s="1"/>
      <c r="D368" s="1"/>
      <c r="E368" s="1"/>
      <c r="F368" s="1"/>
      <c r="G368" s="1"/>
      <c r="H368" s="1"/>
      <c r="I368" s="1"/>
      <c r="J368" s="1"/>
      <c r="K368" s="1"/>
      <c r="L368" s="1"/>
      <c r="M368" s="1"/>
      <c r="N368" s="1"/>
      <c r="O368" s="1"/>
      <c r="P368" s="1"/>
      <c r="Q368" s="1"/>
      <c r="R368" s="1"/>
      <c r="S368" s="1"/>
      <c r="T368" s="1"/>
      <c r="U368" s="5"/>
      <c r="V368" s="6"/>
      <c r="W368" s="6"/>
      <c r="X368" s="6"/>
      <c r="Y368" s="6"/>
      <c r="Z368" s="6"/>
      <c r="AA368" s="6"/>
      <c r="AB368" s="5"/>
      <c r="AC368" s="174"/>
      <c r="AD368" s="175"/>
    </row>
    <row r="369" hidden="1">
      <c r="A369" s="1"/>
      <c r="B369" s="1"/>
      <c r="C369" s="1"/>
      <c r="D369" s="1"/>
      <c r="E369" s="1"/>
      <c r="F369" s="1"/>
      <c r="G369" s="1"/>
      <c r="H369" s="1"/>
      <c r="I369" s="1"/>
      <c r="J369" s="1"/>
      <c r="K369" s="1"/>
      <c r="L369" s="1"/>
      <c r="M369" s="1"/>
      <c r="N369" s="1"/>
      <c r="O369" s="1"/>
      <c r="P369" s="1"/>
      <c r="Q369" s="1"/>
      <c r="R369" s="1"/>
      <c r="S369" s="1"/>
      <c r="T369" s="1"/>
      <c r="U369" s="5"/>
      <c r="V369" s="6"/>
      <c r="W369" s="6"/>
      <c r="X369" s="6"/>
      <c r="Y369" s="6"/>
      <c r="Z369" s="6"/>
      <c r="AA369" s="6"/>
      <c r="AB369" s="5"/>
      <c r="AC369" s="174"/>
      <c r="AD369" s="175"/>
    </row>
    <row r="370" hidden="1">
      <c r="A370" s="1"/>
      <c r="B370" s="1"/>
      <c r="C370" s="1"/>
      <c r="D370" s="1"/>
      <c r="E370" s="1"/>
      <c r="F370" s="1"/>
      <c r="G370" s="1"/>
      <c r="H370" s="1"/>
      <c r="I370" s="1"/>
      <c r="J370" s="1"/>
      <c r="K370" s="1"/>
      <c r="L370" s="1"/>
      <c r="M370" s="1"/>
      <c r="N370" s="1"/>
      <c r="O370" s="1"/>
      <c r="P370" s="1"/>
      <c r="Q370" s="1"/>
      <c r="R370" s="1"/>
      <c r="S370" s="1"/>
      <c r="T370" s="1"/>
      <c r="U370" s="5"/>
      <c r="V370" s="6"/>
      <c r="W370" s="6"/>
      <c r="X370" s="6"/>
      <c r="Y370" s="6"/>
      <c r="Z370" s="6"/>
      <c r="AA370" s="6"/>
      <c r="AB370" s="5"/>
      <c r="AC370" s="174"/>
      <c r="AD370" s="175"/>
    </row>
    <row r="371" hidden="1">
      <c r="A371" s="1"/>
      <c r="B371" s="1"/>
      <c r="C371" s="1"/>
      <c r="D371" s="1"/>
      <c r="E371" s="1"/>
      <c r="F371" s="1"/>
      <c r="G371" s="1"/>
      <c r="H371" s="1"/>
      <c r="I371" s="1"/>
      <c r="J371" s="1"/>
      <c r="K371" s="1"/>
      <c r="L371" s="1"/>
      <c r="M371" s="1"/>
      <c r="N371" s="1"/>
      <c r="O371" s="1"/>
      <c r="P371" s="1"/>
      <c r="Q371" s="1"/>
      <c r="R371" s="1"/>
      <c r="S371" s="1"/>
      <c r="T371" s="1"/>
      <c r="U371" s="5"/>
      <c r="V371" s="6"/>
      <c r="W371" s="6"/>
      <c r="X371" s="6"/>
      <c r="Y371" s="6"/>
      <c r="Z371" s="6"/>
      <c r="AA371" s="6"/>
      <c r="AB371" s="5"/>
      <c r="AC371" s="174"/>
      <c r="AD371" s="175"/>
    </row>
    <row r="372" hidden="1">
      <c r="A372" s="1"/>
      <c r="B372" s="1"/>
      <c r="C372" s="1"/>
      <c r="D372" s="1"/>
      <c r="E372" s="1"/>
      <c r="F372" s="1"/>
      <c r="G372" s="1"/>
      <c r="H372" s="1"/>
      <c r="I372" s="1"/>
      <c r="J372" s="1"/>
      <c r="K372" s="1"/>
      <c r="L372" s="1"/>
      <c r="M372" s="1"/>
      <c r="N372" s="1"/>
      <c r="O372" s="1"/>
      <c r="P372" s="1"/>
      <c r="Q372" s="1"/>
      <c r="R372" s="1"/>
      <c r="S372" s="1"/>
      <c r="T372" s="1"/>
      <c r="U372" s="5"/>
      <c r="V372" s="6"/>
      <c r="W372" s="6"/>
      <c r="X372" s="6"/>
      <c r="Y372" s="6"/>
      <c r="Z372" s="6"/>
      <c r="AA372" s="6"/>
      <c r="AB372" s="5"/>
      <c r="AC372" s="174"/>
      <c r="AD372" s="175"/>
    </row>
    <row r="373" hidden="1">
      <c r="A373" s="1"/>
      <c r="B373" s="1"/>
      <c r="C373" s="1"/>
      <c r="D373" s="1"/>
      <c r="E373" s="1"/>
      <c r="F373" s="1"/>
      <c r="G373" s="1"/>
      <c r="H373" s="1"/>
      <c r="I373" s="1"/>
      <c r="J373" s="1"/>
      <c r="K373" s="1"/>
      <c r="L373" s="1"/>
      <c r="M373" s="1"/>
      <c r="N373" s="1"/>
      <c r="O373" s="1"/>
      <c r="P373" s="1"/>
      <c r="Q373" s="1"/>
      <c r="R373" s="1"/>
      <c r="S373" s="1"/>
      <c r="T373" s="1"/>
      <c r="U373" s="5"/>
      <c r="V373" s="6"/>
      <c r="W373" s="6"/>
      <c r="X373" s="6"/>
      <c r="Y373" s="6"/>
      <c r="Z373" s="6"/>
      <c r="AA373" s="6"/>
      <c r="AB373" s="5"/>
      <c r="AC373" s="174"/>
      <c r="AD373" s="175"/>
    </row>
    <row r="374" hidden="1">
      <c r="A374" s="1"/>
      <c r="B374" s="1"/>
      <c r="C374" s="1"/>
      <c r="D374" s="1"/>
      <c r="E374" s="1"/>
      <c r="F374" s="1"/>
      <c r="G374" s="1"/>
      <c r="H374" s="1"/>
      <c r="I374" s="1"/>
      <c r="J374" s="1"/>
      <c r="K374" s="1"/>
      <c r="L374" s="1"/>
      <c r="M374" s="1"/>
      <c r="N374" s="1"/>
      <c r="O374" s="1"/>
      <c r="P374" s="1"/>
      <c r="Q374" s="1"/>
      <c r="R374" s="1"/>
      <c r="S374" s="1"/>
      <c r="T374" s="1"/>
      <c r="U374" s="5"/>
      <c r="V374" s="6"/>
      <c r="W374" s="6"/>
      <c r="X374" s="6"/>
      <c r="Y374" s="6"/>
      <c r="Z374" s="6"/>
      <c r="AA374" s="6"/>
      <c r="AB374" s="5"/>
      <c r="AC374" s="174"/>
      <c r="AD374" s="175"/>
    </row>
    <row r="375" hidden="1">
      <c r="A375" s="1"/>
      <c r="B375" s="1"/>
      <c r="C375" s="1"/>
      <c r="D375" s="1"/>
      <c r="E375" s="1"/>
      <c r="F375" s="1"/>
      <c r="G375" s="1"/>
      <c r="H375" s="1"/>
      <c r="I375" s="1"/>
      <c r="J375" s="1"/>
      <c r="K375" s="1"/>
      <c r="L375" s="1"/>
      <c r="M375" s="1"/>
      <c r="N375" s="1"/>
      <c r="O375" s="1"/>
      <c r="P375" s="1"/>
      <c r="Q375" s="1"/>
      <c r="R375" s="1"/>
      <c r="S375" s="1"/>
      <c r="T375" s="1"/>
      <c r="U375" s="5"/>
      <c r="V375" s="6"/>
      <c r="W375" s="6"/>
      <c r="X375" s="6"/>
      <c r="Y375" s="6"/>
      <c r="Z375" s="6"/>
      <c r="AA375" s="6"/>
      <c r="AB375" s="5"/>
      <c r="AC375" s="174"/>
      <c r="AD375" s="175"/>
    </row>
    <row r="376" hidden="1">
      <c r="A376" s="1"/>
      <c r="B376" s="1"/>
      <c r="C376" s="1"/>
      <c r="D376" s="1"/>
      <c r="E376" s="1"/>
      <c r="F376" s="1"/>
      <c r="G376" s="1"/>
      <c r="H376" s="1"/>
      <c r="I376" s="1"/>
      <c r="J376" s="1"/>
      <c r="K376" s="1"/>
      <c r="L376" s="1"/>
      <c r="M376" s="1"/>
      <c r="N376" s="1"/>
      <c r="O376" s="1"/>
      <c r="P376" s="1"/>
      <c r="Q376" s="1"/>
      <c r="R376" s="1"/>
      <c r="S376" s="1"/>
      <c r="T376" s="1"/>
      <c r="U376" s="5"/>
      <c r="V376" s="6"/>
      <c r="W376" s="6"/>
      <c r="X376" s="6"/>
      <c r="Y376" s="6"/>
      <c r="Z376" s="6"/>
      <c r="AA376" s="6"/>
      <c r="AB376" s="5"/>
      <c r="AC376" s="174"/>
      <c r="AD376" s="175"/>
    </row>
    <row r="377" hidden="1">
      <c r="A377" s="1"/>
      <c r="B377" s="1"/>
      <c r="C377" s="1"/>
      <c r="D377" s="1"/>
      <c r="E377" s="1"/>
      <c r="F377" s="1"/>
      <c r="G377" s="1"/>
      <c r="H377" s="1"/>
      <c r="I377" s="1"/>
      <c r="J377" s="1"/>
      <c r="K377" s="1"/>
      <c r="L377" s="1"/>
      <c r="M377" s="1"/>
      <c r="N377" s="1"/>
      <c r="O377" s="1"/>
      <c r="P377" s="1"/>
      <c r="Q377" s="1"/>
      <c r="R377" s="1"/>
      <c r="S377" s="1"/>
      <c r="T377" s="1"/>
      <c r="U377" s="5"/>
      <c r="V377" s="6"/>
      <c r="W377" s="6"/>
      <c r="X377" s="6"/>
      <c r="Y377" s="6"/>
      <c r="Z377" s="6"/>
      <c r="AA377" s="6"/>
      <c r="AB377" s="5"/>
      <c r="AC377" s="174"/>
      <c r="AD377" s="175"/>
    </row>
    <row r="378" hidden="1">
      <c r="A378" s="1"/>
      <c r="B378" s="1"/>
      <c r="C378" s="1"/>
      <c r="D378" s="1"/>
      <c r="E378" s="1"/>
      <c r="F378" s="1"/>
      <c r="G378" s="1"/>
      <c r="H378" s="1"/>
      <c r="I378" s="1"/>
      <c r="J378" s="1"/>
      <c r="K378" s="1"/>
      <c r="L378" s="1"/>
      <c r="M378" s="1"/>
      <c r="N378" s="1"/>
      <c r="O378" s="1"/>
      <c r="P378" s="1"/>
      <c r="Q378" s="1"/>
      <c r="R378" s="1"/>
      <c r="S378" s="1"/>
      <c r="T378" s="1"/>
      <c r="U378" s="5"/>
      <c r="V378" s="6"/>
      <c r="W378" s="6"/>
      <c r="X378" s="6"/>
      <c r="Y378" s="6"/>
      <c r="Z378" s="6"/>
      <c r="AA378" s="6"/>
      <c r="AB378" s="5"/>
      <c r="AC378" s="174"/>
      <c r="AD378" s="175"/>
    </row>
    <row r="379" hidden="1">
      <c r="A379" s="1"/>
      <c r="B379" s="1"/>
      <c r="C379" s="1"/>
      <c r="D379" s="1"/>
      <c r="E379" s="1"/>
      <c r="F379" s="1"/>
      <c r="G379" s="1"/>
      <c r="H379" s="1"/>
      <c r="I379" s="1"/>
      <c r="J379" s="1"/>
      <c r="K379" s="1"/>
      <c r="L379" s="1"/>
      <c r="M379" s="1"/>
      <c r="N379" s="1"/>
      <c r="O379" s="1"/>
      <c r="P379" s="1"/>
      <c r="Q379" s="1"/>
      <c r="R379" s="1"/>
      <c r="S379" s="1"/>
      <c r="T379" s="1"/>
      <c r="U379" s="5"/>
      <c r="V379" s="6"/>
      <c r="W379" s="6"/>
      <c r="X379" s="6"/>
      <c r="Y379" s="6"/>
      <c r="Z379" s="6"/>
      <c r="AA379" s="6"/>
      <c r="AB379" s="5"/>
      <c r="AC379" s="174"/>
      <c r="AD379" s="175"/>
    </row>
    <row r="380" hidden="1">
      <c r="A380" s="1"/>
      <c r="B380" s="1"/>
      <c r="C380" s="1"/>
      <c r="D380" s="1"/>
      <c r="E380" s="1"/>
      <c r="F380" s="1"/>
      <c r="G380" s="1"/>
      <c r="H380" s="1"/>
      <c r="I380" s="1"/>
      <c r="J380" s="1"/>
      <c r="K380" s="1"/>
      <c r="L380" s="1"/>
      <c r="M380" s="1"/>
      <c r="N380" s="1"/>
      <c r="O380" s="1"/>
      <c r="P380" s="1"/>
      <c r="Q380" s="1"/>
      <c r="R380" s="1"/>
      <c r="S380" s="1"/>
      <c r="T380" s="1"/>
      <c r="U380" s="5"/>
      <c r="V380" s="6"/>
      <c r="W380" s="6"/>
      <c r="X380" s="6"/>
      <c r="Y380" s="6"/>
      <c r="Z380" s="6"/>
      <c r="AA380" s="6"/>
      <c r="AB380" s="5"/>
      <c r="AC380" s="174"/>
      <c r="AD380" s="175"/>
    </row>
    <row r="381" hidden="1">
      <c r="A381" s="1"/>
      <c r="B381" s="1"/>
      <c r="C381" s="1"/>
      <c r="D381" s="1"/>
      <c r="E381" s="1"/>
      <c r="F381" s="1"/>
      <c r="G381" s="1"/>
      <c r="H381" s="1"/>
      <c r="I381" s="1"/>
      <c r="J381" s="1"/>
      <c r="K381" s="1"/>
      <c r="L381" s="1"/>
      <c r="M381" s="1"/>
      <c r="N381" s="1"/>
      <c r="O381" s="1"/>
      <c r="P381" s="1"/>
      <c r="Q381" s="1"/>
      <c r="R381" s="1"/>
      <c r="S381" s="1"/>
      <c r="T381" s="1"/>
      <c r="U381" s="5"/>
      <c r="V381" s="6"/>
      <c r="W381" s="6"/>
      <c r="X381" s="6"/>
      <c r="Y381" s="6"/>
      <c r="Z381" s="6"/>
      <c r="AA381" s="6"/>
      <c r="AB381" s="5"/>
      <c r="AC381" s="174"/>
      <c r="AD381" s="175"/>
    </row>
    <row r="382" hidden="1">
      <c r="A382" s="1"/>
      <c r="B382" s="1"/>
      <c r="C382" s="1"/>
      <c r="D382" s="1"/>
      <c r="E382" s="1"/>
      <c r="F382" s="1"/>
      <c r="G382" s="1"/>
      <c r="H382" s="1"/>
      <c r="I382" s="1"/>
      <c r="J382" s="1"/>
      <c r="K382" s="1"/>
      <c r="L382" s="1"/>
      <c r="M382" s="1"/>
      <c r="N382" s="1"/>
      <c r="O382" s="1"/>
      <c r="P382" s="1"/>
      <c r="Q382" s="1"/>
      <c r="R382" s="1"/>
      <c r="S382" s="1"/>
      <c r="T382" s="1"/>
      <c r="U382" s="5"/>
      <c r="V382" s="6"/>
      <c r="W382" s="6"/>
      <c r="X382" s="6"/>
      <c r="Y382" s="6"/>
      <c r="Z382" s="6"/>
      <c r="AA382" s="6"/>
      <c r="AB382" s="5"/>
      <c r="AC382" s="174"/>
      <c r="AD382" s="175"/>
    </row>
    <row r="383" hidden="1">
      <c r="A383" s="1"/>
      <c r="B383" s="1"/>
      <c r="C383" s="1"/>
      <c r="D383" s="1"/>
      <c r="E383" s="1"/>
      <c r="F383" s="1"/>
      <c r="G383" s="1"/>
      <c r="H383" s="1"/>
      <c r="I383" s="1"/>
      <c r="J383" s="1"/>
      <c r="K383" s="1"/>
      <c r="L383" s="1"/>
      <c r="M383" s="1"/>
      <c r="N383" s="1"/>
      <c r="O383" s="1"/>
      <c r="P383" s="1"/>
      <c r="Q383" s="1"/>
      <c r="R383" s="1"/>
      <c r="S383" s="1"/>
      <c r="T383" s="1"/>
      <c r="U383" s="5"/>
      <c r="V383" s="6"/>
      <c r="W383" s="6"/>
      <c r="X383" s="6"/>
      <c r="Y383" s="6"/>
      <c r="Z383" s="6"/>
      <c r="AA383" s="6"/>
      <c r="AB383" s="5"/>
      <c r="AC383" s="174"/>
      <c r="AD383" s="175"/>
    </row>
    <row r="384" hidden="1">
      <c r="A384" s="1"/>
      <c r="B384" s="1"/>
      <c r="C384" s="1"/>
      <c r="D384" s="1"/>
      <c r="E384" s="1"/>
      <c r="F384" s="1"/>
      <c r="G384" s="1"/>
      <c r="H384" s="1"/>
      <c r="I384" s="1"/>
      <c r="J384" s="1"/>
      <c r="K384" s="1"/>
      <c r="L384" s="1"/>
      <c r="M384" s="1"/>
      <c r="N384" s="1"/>
      <c r="O384" s="1"/>
      <c r="P384" s="1"/>
      <c r="Q384" s="1"/>
      <c r="R384" s="1"/>
      <c r="S384" s="1"/>
      <c r="T384" s="1"/>
      <c r="U384" s="5"/>
      <c r="V384" s="6"/>
      <c r="W384" s="6"/>
      <c r="X384" s="6"/>
      <c r="Y384" s="6"/>
      <c r="Z384" s="6"/>
      <c r="AA384" s="6"/>
      <c r="AB384" s="5"/>
      <c r="AC384" s="174"/>
      <c r="AD384" s="175"/>
    </row>
    <row r="385" hidden="1">
      <c r="A385" s="1"/>
      <c r="B385" s="1"/>
      <c r="C385" s="1"/>
      <c r="D385" s="1"/>
      <c r="E385" s="1"/>
      <c r="F385" s="1"/>
      <c r="G385" s="1"/>
      <c r="H385" s="1"/>
      <c r="I385" s="1"/>
      <c r="J385" s="1"/>
      <c r="K385" s="1"/>
      <c r="L385" s="1"/>
      <c r="M385" s="1"/>
      <c r="N385" s="1"/>
      <c r="O385" s="1"/>
      <c r="P385" s="1"/>
      <c r="Q385" s="1"/>
      <c r="R385" s="1"/>
      <c r="S385" s="1"/>
      <c r="T385" s="1"/>
      <c r="U385" s="5"/>
      <c r="V385" s="6"/>
      <c r="W385" s="6"/>
      <c r="X385" s="6"/>
      <c r="Y385" s="6"/>
      <c r="Z385" s="6"/>
      <c r="AA385" s="6"/>
      <c r="AB385" s="5"/>
      <c r="AC385" s="174"/>
      <c r="AD385" s="175"/>
    </row>
    <row r="386" hidden="1">
      <c r="A386" s="1"/>
      <c r="B386" s="1"/>
      <c r="C386" s="1"/>
      <c r="D386" s="1"/>
      <c r="E386" s="1"/>
      <c r="F386" s="1"/>
      <c r="G386" s="1"/>
      <c r="H386" s="1"/>
      <c r="I386" s="1"/>
      <c r="J386" s="1"/>
      <c r="K386" s="1"/>
      <c r="L386" s="1"/>
      <c r="M386" s="1"/>
      <c r="N386" s="1"/>
      <c r="O386" s="1"/>
      <c r="P386" s="1"/>
      <c r="Q386" s="1"/>
      <c r="R386" s="1"/>
      <c r="S386" s="1"/>
      <c r="T386" s="1"/>
      <c r="U386" s="5"/>
      <c r="V386" s="6"/>
      <c r="W386" s="6"/>
      <c r="X386" s="6"/>
      <c r="Y386" s="6"/>
      <c r="Z386" s="6"/>
      <c r="AA386" s="6"/>
      <c r="AB386" s="5"/>
      <c r="AC386" s="174"/>
      <c r="AD386" s="175"/>
    </row>
    <row r="387" hidden="1">
      <c r="A387" s="1"/>
      <c r="B387" s="1"/>
      <c r="C387" s="1"/>
      <c r="D387" s="1"/>
      <c r="E387" s="1"/>
      <c r="F387" s="1"/>
      <c r="G387" s="1"/>
      <c r="H387" s="1"/>
      <c r="I387" s="1"/>
      <c r="J387" s="1"/>
      <c r="K387" s="1"/>
      <c r="L387" s="1"/>
      <c r="M387" s="1"/>
      <c r="N387" s="1"/>
      <c r="O387" s="1"/>
      <c r="P387" s="1"/>
      <c r="Q387" s="1"/>
      <c r="R387" s="1"/>
      <c r="S387" s="1"/>
      <c r="T387" s="1"/>
      <c r="U387" s="5"/>
      <c r="V387" s="6"/>
      <c r="W387" s="6"/>
      <c r="X387" s="6"/>
      <c r="Y387" s="6"/>
      <c r="Z387" s="6"/>
      <c r="AA387" s="6"/>
      <c r="AB387" s="5"/>
      <c r="AC387" s="174"/>
      <c r="AD387" s="175"/>
    </row>
    <row r="388" hidden="1">
      <c r="A388" s="1"/>
      <c r="B388" s="1"/>
      <c r="C388" s="1"/>
      <c r="D388" s="1"/>
      <c r="E388" s="1"/>
      <c r="F388" s="1"/>
      <c r="G388" s="1"/>
      <c r="H388" s="1"/>
      <c r="I388" s="1"/>
      <c r="J388" s="1"/>
      <c r="K388" s="1"/>
      <c r="L388" s="1"/>
      <c r="M388" s="1"/>
      <c r="N388" s="1"/>
      <c r="O388" s="1"/>
      <c r="P388" s="1"/>
      <c r="Q388" s="1"/>
      <c r="R388" s="1"/>
      <c r="S388" s="1"/>
      <c r="T388" s="1"/>
      <c r="U388" s="5"/>
      <c r="V388" s="6"/>
      <c r="W388" s="6"/>
      <c r="X388" s="6"/>
      <c r="Y388" s="6"/>
      <c r="Z388" s="6"/>
      <c r="AA388" s="6"/>
      <c r="AB388" s="5"/>
      <c r="AC388" s="174"/>
      <c r="AD388" s="175"/>
    </row>
    <row r="389" hidden="1">
      <c r="A389" s="1"/>
      <c r="B389" s="1"/>
      <c r="C389" s="1"/>
      <c r="D389" s="1"/>
      <c r="E389" s="1"/>
      <c r="F389" s="1"/>
      <c r="G389" s="1"/>
      <c r="H389" s="1"/>
      <c r="I389" s="1"/>
      <c r="J389" s="1"/>
      <c r="K389" s="1"/>
      <c r="L389" s="1"/>
      <c r="M389" s="1"/>
      <c r="N389" s="1"/>
      <c r="O389" s="1"/>
      <c r="P389" s="1"/>
      <c r="Q389" s="1"/>
      <c r="R389" s="1"/>
      <c r="S389" s="1"/>
      <c r="T389" s="1"/>
      <c r="U389" s="5"/>
      <c r="V389" s="6"/>
      <c r="W389" s="6"/>
      <c r="X389" s="6"/>
      <c r="Y389" s="6"/>
      <c r="Z389" s="6"/>
      <c r="AA389" s="6"/>
      <c r="AB389" s="5"/>
      <c r="AC389" s="174"/>
      <c r="AD389" s="175"/>
    </row>
    <row r="390" hidden="1">
      <c r="A390" s="1"/>
      <c r="B390" s="1"/>
      <c r="C390" s="1"/>
      <c r="D390" s="1"/>
      <c r="E390" s="1"/>
      <c r="F390" s="1"/>
      <c r="G390" s="1"/>
      <c r="H390" s="1"/>
      <c r="I390" s="1"/>
      <c r="J390" s="1"/>
      <c r="K390" s="1"/>
      <c r="L390" s="1"/>
      <c r="M390" s="1"/>
      <c r="N390" s="1"/>
      <c r="O390" s="1"/>
      <c r="P390" s="1"/>
      <c r="Q390" s="1"/>
      <c r="R390" s="1"/>
      <c r="S390" s="1"/>
      <c r="T390" s="1"/>
      <c r="U390" s="5"/>
      <c r="V390" s="6"/>
      <c r="W390" s="6"/>
      <c r="X390" s="6"/>
      <c r="Y390" s="6"/>
      <c r="Z390" s="6"/>
      <c r="AA390" s="6"/>
      <c r="AB390" s="5"/>
      <c r="AC390" s="174"/>
      <c r="AD390" s="175"/>
    </row>
    <row r="391" hidden="1">
      <c r="A391" s="1"/>
      <c r="B391" s="1"/>
      <c r="C391" s="1"/>
      <c r="D391" s="1"/>
      <c r="E391" s="1"/>
      <c r="F391" s="1"/>
      <c r="G391" s="1"/>
      <c r="H391" s="1"/>
      <c r="I391" s="1"/>
      <c r="J391" s="1"/>
      <c r="K391" s="1"/>
      <c r="L391" s="1"/>
      <c r="M391" s="1"/>
      <c r="N391" s="1"/>
      <c r="O391" s="1"/>
      <c r="P391" s="1"/>
      <c r="Q391" s="1"/>
      <c r="R391" s="1"/>
      <c r="S391" s="1"/>
      <c r="T391" s="1"/>
      <c r="U391" s="5"/>
      <c r="V391" s="6"/>
      <c r="W391" s="6"/>
      <c r="X391" s="6"/>
      <c r="Y391" s="6"/>
      <c r="Z391" s="6"/>
      <c r="AA391" s="6"/>
      <c r="AB391" s="5"/>
      <c r="AC391" s="174"/>
      <c r="AD391" s="175"/>
    </row>
    <row r="392" hidden="1">
      <c r="A392" s="1"/>
      <c r="B392" s="1"/>
      <c r="C392" s="1"/>
      <c r="D392" s="1"/>
      <c r="E392" s="1"/>
      <c r="F392" s="1"/>
      <c r="G392" s="1"/>
      <c r="H392" s="1"/>
      <c r="I392" s="1"/>
      <c r="J392" s="1"/>
      <c r="K392" s="1"/>
      <c r="L392" s="1"/>
      <c r="M392" s="1"/>
      <c r="N392" s="1"/>
      <c r="O392" s="1"/>
      <c r="P392" s="1"/>
      <c r="Q392" s="1"/>
      <c r="R392" s="1"/>
      <c r="S392" s="1"/>
      <c r="T392" s="1"/>
      <c r="U392" s="5"/>
      <c r="V392" s="6"/>
      <c r="W392" s="6"/>
      <c r="X392" s="6"/>
      <c r="Y392" s="6"/>
      <c r="Z392" s="6"/>
      <c r="AA392" s="6"/>
      <c r="AB392" s="5"/>
      <c r="AC392" s="174"/>
      <c r="AD392" s="175"/>
    </row>
    <row r="393" hidden="1">
      <c r="A393" s="1"/>
      <c r="B393" s="1"/>
      <c r="C393" s="1"/>
      <c r="D393" s="1"/>
      <c r="E393" s="1"/>
      <c r="F393" s="1"/>
      <c r="G393" s="1"/>
      <c r="H393" s="1"/>
      <c r="I393" s="1"/>
      <c r="J393" s="1"/>
      <c r="K393" s="1"/>
      <c r="L393" s="1"/>
      <c r="M393" s="1"/>
      <c r="N393" s="1"/>
      <c r="O393" s="1"/>
      <c r="P393" s="1"/>
      <c r="Q393" s="1"/>
      <c r="R393" s="1"/>
      <c r="S393" s="1"/>
      <c r="T393" s="1"/>
      <c r="U393" s="5"/>
      <c r="V393" s="6"/>
      <c r="W393" s="6"/>
      <c r="X393" s="6"/>
      <c r="Y393" s="6"/>
      <c r="Z393" s="6"/>
      <c r="AA393" s="6"/>
      <c r="AB393" s="5"/>
      <c r="AC393" s="174"/>
      <c r="AD393" s="175"/>
    </row>
    <row r="394" hidden="1">
      <c r="A394" s="1"/>
      <c r="B394" s="1"/>
      <c r="C394" s="1"/>
      <c r="D394" s="1"/>
      <c r="E394" s="1"/>
      <c r="F394" s="1"/>
      <c r="G394" s="1"/>
      <c r="H394" s="1"/>
      <c r="I394" s="1"/>
      <c r="J394" s="1"/>
      <c r="K394" s="1"/>
      <c r="L394" s="1"/>
      <c r="M394" s="1"/>
      <c r="N394" s="1"/>
      <c r="O394" s="1"/>
      <c r="P394" s="1"/>
      <c r="Q394" s="1"/>
      <c r="R394" s="1"/>
      <c r="S394" s="1"/>
      <c r="T394" s="1"/>
      <c r="U394" s="5"/>
      <c r="V394" s="6"/>
      <c r="W394" s="6"/>
      <c r="X394" s="6"/>
      <c r="Y394" s="6"/>
      <c r="Z394" s="6"/>
      <c r="AA394" s="6"/>
      <c r="AB394" s="5"/>
      <c r="AC394" s="174"/>
      <c r="AD394" s="175"/>
    </row>
    <row r="395" hidden="1">
      <c r="A395" s="1"/>
      <c r="B395" s="1"/>
      <c r="C395" s="1"/>
      <c r="D395" s="1"/>
      <c r="E395" s="1"/>
      <c r="F395" s="1"/>
      <c r="G395" s="1"/>
      <c r="H395" s="1"/>
      <c r="I395" s="1"/>
      <c r="J395" s="1"/>
      <c r="K395" s="1"/>
      <c r="L395" s="1"/>
      <c r="M395" s="1"/>
      <c r="N395" s="1"/>
      <c r="O395" s="1"/>
      <c r="P395" s="1"/>
      <c r="Q395" s="1"/>
      <c r="R395" s="1"/>
      <c r="S395" s="1"/>
      <c r="T395" s="1"/>
      <c r="U395" s="5"/>
      <c r="V395" s="6"/>
      <c r="W395" s="6"/>
      <c r="X395" s="6"/>
      <c r="Y395" s="6"/>
      <c r="Z395" s="6"/>
      <c r="AA395" s="6"/>
      <c r="AB395" s="5"/>
      <c r="AC395" s="174"/>
      <c r="AD395" s="175"/>
    </row>
    <row r="396" hidden="1">
      <c r="A396" s="1"/>
      <c r="B396" s="1"/>
      <c r="C396" s="1"/>
      <c r="D396" s="1"/>
      <c r="E396" s="1"/>
      <c r="F396" s="1"/>
      <c r="G396" s="1"/>
      <c r="H396" s="1"/>
      <c r="I396" s="1"/>
      <c r="J396" s="1"/>
      <c r="K396" s="1"/>
      <c r="L396" s="1"/>
      <c r="M396" s="1"/>
      <c r="N396" s="1"/>
      <c r="O396" s="1"/>
      <c r="P396" s="1"/>
      <c r="Q396" s="1"/>
      <c r="R396" s="1"/>
      <c r="S396" s="1"/>
      <c r="T396" s="1"/>
      <c r="U396" s="5"/>
      <c r="V396" s="6"/>
      <c r="W396" s="6"/>
      <c r="X396" s="6"/>
      <c r="Y396" s="6"/>
      <c r="Z396" s="6"/>
      <c r="AA396" s="6"/>
      <c r="AB396" s="5"/>
      <c r="AC396" s="174"/>
      <c r="AD396" s="175"/>
    </row>
    <row r="397" hidden="1">
      <c r="A397" s="1"/>
      <c r="B397" s="1"/>
      <c r="C397" s="1"/>
      <c r="D397" s="1"/>
      <c r="E397" s="1"/>
      <c r="F397" s="1"/>
      <c r="G397" s="1"/>
      <c r="H397" s="1"/>
      <c r="I397" s="1"/>
      <c r="J397" s="1"/>
      <c r="K397" s="1"/>
      <c r="L397" s="1"/>
      <c r="M397" s="1"/>
      <c r="N397" s="1"/>
      <c r="O397" s="1"/>
      <c r="P397" s="1"/>
      <c r="Q397" s="1"/>
      <c r="R397" s="1"/>
      <c r="S397" s="1"/>
      <c r="T397" s="1"/>
      <c r="U397" s="5"/>
      <c r="V397" s="6"/>
      <c r="W397" s="6"/>
      <c r="X397" s="6"/>
      <c r="Y397" s="6"/>
      <c r="Z397" s="6"/>
      <c r="AA397" s="6"/>
      <c r="AB397" s="5"/>
      <c r="AC397" s="174"/>
      <c r="AD397" s="175"/>
    </row>
    <row r="398" hidden="1">
      <c r="A398" s="1"/>
      <c r="B398" s="1"/>
      <c r="C398" s="1"/>
      <c r="D398" s="1"/>
      <c r="E398" s="1"/>
      <c r="F398" s="1"/>
      <c r="G398" s="1"/>
      <c r="H398" s="1"/>
      <c r="I398" s="1"/>
      <c r="J398" s="1"/>
      <c r="K398" s="1"/>
      <c r="L398" s="1"/>
      <c r="M398" s="1"/>
      <c r="N398" s="1"/>
      <c r="O398" s="1"/>
      <c r="P398" s="1"/>
      <c r="Q398" s="1"/>
      <c r="R398" s="1"/>
      <c r="S398" s="1"/>
      <c r="T398" s="1"/>
      <c r="U398" s="5"/>
      <c r="V398" s="6"/>
      <c r="W398" s="6"/>
      <c r="X398" s="6"/>
      <c r="Y398" s="6"/>
      <c r="Z398" s="6"/>
      <c r="AA398" s="6"/>
      <c r="AB398" s="5"/>
      <c r="AC398" s="174"/>
      <c r="AD398" s="175"/>
    </row>
    <row r="399" hidden="1">
      <c r="A399" s="1"/>
      <c r="B399" s="1"/>
      <c r="C399" s="1"/>
      <c r="D399" s="1"/>
      <c r="E399" s="1"/>
      <c r="F399" s="1"/>
      <c r="G399" s="1"/>
      <c r="H399" s="1"/>
      <c r="I399" s="1"/>
      <c r="J399" s="1"/>
      <c r="K399" s="1"/>
      <c r="L399" s="1"/>
      <c r="M399" s="1"/>
      <c r="N399" s="1"/>
      <c r="O399" s="1"/>
      <c r="P399" s="1"/>
      <c r="Q399" s="1"/>
      <c r="R399" s="1"/>
      <c r="S399" s="1"/>
      <c r="T399" s="1"/>
      <c r="U399" s="5"/>
      <c r="V399" s="6"/>
      <c r="W399" s="6"/>
      <c r="X399" s="6"/>
      <c r="Y399" s="6"/>
      <c r="Z399" s="6"/>
      <c r="AA399" s="6"/>
      <c r="AB399" s="5"/>
      <c r="AC399" s="174"/>
      <c r="AD399" s="175"/>
    </row>
    <row r="400" hidden="1">
      <c r="A400" s="1"/>
      <c r="B400" s="1"/>
      <c r="C400" s="1"/>
      <c r="D400" s="1"/>
      <c r="E400" s="1"/>
      <c r="F400" s="1"/>
      <c r="G400" s="1"/>
      <c r="H400" s="1"/>
      <c r="I400" s="1"/>
      <c r="J400" s="1"/>
      <c r="K400" s="1"/>
      <c r="L400" s="1"/>
      <c r="M400" s="1"/>
      <c r="N400" s="1"/>
      <c r="O400" s="1"/>
      <c r="P400" s="1"/>
      <c r="Q400" s="1"/>
      <c r="R400" s="1"/>
      <c r="S400" s="1"/>
      <c r="T400" s="1"/>
      <c r="U400" s="5"/>
      <c r="V400" s="6"/>
      <c r="W400" s="6"/>
      <c r="X400" s="6"/>
      <c r="Y400" s="6"/>
      <c r="Z400" s="6"/>
      <c r="AA400" s="6"/>
      <c r="AB400" s="5"/>
      <c r="AC400" s="174"/>
      <c r="AD400" s="175"/>
    </row>
    <row r="401" hidden="1">
      <c r="A401" s="1"/>
      <c r="B401" s="1"/>
      <c r="C401" s="1"/>
      <c r="D401" s="1"/>
      <c r="E401" s="1"/>
      <c r="F401" s="1"/>
      <c r="G401" s="1"/>
      <c r="H401" s="1"/>
      <c r="I401" s="1"/>
      <c r="J401" s="1"/>
      <c r="K401" s="1"/>
      <c r="L401" s="1"/>
      <c r="M401" s="1"/>
      <c r="N401" s="1"/>
      <c r="O401" s="1"/>
      <c r="P401" s="1"/>
      <c r="Q401" s="1"/>
      <c r="R401" s="1"/>
      <c r="S401" s="1"/>
      <c r="T401" s="1"/>
      <c r="U401" s="5"/>
      <c r="V401" s="6"/>
      <c r="W401" s="6"/>
      <c r="X401" s="6"/>
      <c r="Y401" s="6"/>
      <c r="Z401" s="6"/>
      <c r="AA401" s="6"/>
      <c r="AB401" s="5"/>
      <c r="AC401" s="174"/>
      <c r="AD401" s="175"/>
    </row>
    <row r="402" hidden="1">
      <c r="A402" s="1"/>
      <c r="B402" s="1"/>
      <c r="C402" s="1"/>
      <c r="D402" s="1"/>
      <c r="E402" s="1"/>
      <c r="F402" s="1"/>
      <c r="G402" s="1"/>
      <c r="H402" s="1"/>
      <c r="I402" s="1"/>
      <c r="J402" s="1"/>
      <c r="K402" s="1"/>
      <c r="L402" s="1"/>
      <c r="M402" s="1"/>
      <c r="N402" s="1"/>
      <c r="O402" s="1"/>
      <c r="P402" s="1"/>
      <c r="Q402" s="1"/>
      <c r="R402" s="1"/>
      <c r="S402" s="1"/>
      <c r="T402" s="1"/>
      <c r="U402" s="5"/>
      <c r="V402" s="6"/>
      <c r="W402" s="6"/>
      <c r="X402" s="6"/>
      <c r="Y402" s="6"/>
      <c r="Z402" s="6"/>
      <c r="AA402" s="6"/>
      <c r="AB402" s="5"/>
      <c r="AC402" s="174"/>
      <c r="AD402" s="175"/>
    </row>
    <row r="403" hidden="1">
      <c r="A403" s="1"/>
      <c r="B403" s="1"/>
      <c r="C403" s="1"/>
      <c r="D403" s="1"/>
      <c r="E403" s="1"/>
      <c r="F403" s="1"/>
      <c r="G403" s="1"/>
      <c r="H403" s="1"/>
      <c r="I403" s="1"/>
      <c r="J403" s="1"/>
      <c r="K403" s="1"/>
      <c r="L403" s="1"/>
      <c r="M403" s="1"/>
      <c r="N403" s="1"/>
      <c r="O403" s="1"/>
      <c r="P403" s="1"/>
      <c r="Q403" s="1"/>
      <c r="R403" s="1"/>
      <c r="S403" s="1"/>
      <c r="T403" s="1"/>
      <c r="U403" s="5"/>
      <c r="V403" s="6"/>
      <c r="W403" s="6"/>
      <c r="X403" s="6"/>
      <c r="Y403" s="6"/>
      <c r="Z403" s="6"/>
      <c r="AA403" s="6"/>
      <c r="AB403" s="5"/>
      <c r="AC403" s="174"/>
      <c r="AD403" s="175"/>
    </row>
    <row r="404" hidden="1">
      <c r="A404" s="1"/>
      <c r="B404" s="1"/>
      <c r="C404" s="1"/>
      <c r="D404" s="1"/>
      <c r="E404" s="1"/>
      <c r="F404" s="1"/>
      <c r="G404" s="1"/>
      <c r="H404" s="1"/>
      <c r="I404" s="1"/>
      <c r="J404" s="1"/>
      <c r="K404" s="1"/>
      <c r="L404" s="1"/>
      <c r="M404" s="1"/>
      <c r="N404" s="1"/>
      <c r="O404" s="1"/>
      <c r="P404" s="1"/>
      <c r="Q404" s="1"/>
      <c r="R404" s="1"/>
      <c r="S404" s="1"/>
      <c r="T404" s="1"/>
      <c r="U404" s="5"/>
      <c r="V404" s="6"/>
      <c r="W404" s="6"/>
      <c r="X404" s="6"/>
      <c r="Y404" s="6"/>
      <c r="Z404" s="6"/>
      <c r="AA404" s="6"/>
      <c r="AB404" s="5"/>
      <c r="AC404" s="174"/>
      <c r="AD404" s="175"/>
    </row>
    <row r="405" hidden="1">
      <c r="A405" s="1"/>
      <c r="B405" s="1"/>
      <c r="C405" s="1"/>
      <c r="D405" s="1"/>
      <c r="E405" s="1"/>
      <c r="F405" s="1"/>
      <c r="G405" s="1"/>
      <c r="H405" s="1"/>
      <c r="I405" s="1"/>
      <c r="J405" s="1"/>
      <c r="K405" s="1"/>
      <c r="L405" s="1"/>
      <c r="M405" s="1"/>
      <c r="N405" s="1"/>
      <c r="O405" s="1"/>
      <c r="P405" s="1"/>
      <c r="Q405" s="1"/>
      <c r="R405" s="1"/>
      <c r="S405" s="1"/>
      <c r="T405" s="1"/>
      <c r="U405" s="5"/>
      <c r="V405" s="6"/>
      <c r="W405" s="6"/>
      <c r="X405" s="6"/>
      <c r="Y405" s="6"/>
      <c r="Z405" s="6"/>
      <c r="AA405" s="6"/>
      <c r="AB405" s="5"/>
      <c r="AC405" s="174"/>
      <c r="AD405" s="175"/>
    </row>
    <row r="406" hidden="1">
      <c r="A406" s="1"/>
      <c r="B406" s="1"/>
      <c r="C406" s="1"/>
      <c r="D406" s="1"/>
      <c r="E406" s="1"/>
      <c r="F406" s="1"/>
      <c r="G406" s="1"/>
      <c r="H406" s="1"/>
      <c r="I406" s="1"/>
      <c r="J406" s="1"/>
      <c r="K406" s="1"/>
      <c r="L406" s="1"/>
      <c r="M406" s="1"/>
      <c r="N406" s="1"/>
      <c r="O406" s="1"/>
      <c r="P406" s="1"/>
      <c r="Q406" s="1"/>
      <c r="R406" s="1"/>
      <c r="S406" s="1"/>
      <c r="T406" s="1"/>
      <c r="U406" s="5"/>
      <c r="V406" s="6"/>
      <c r="W406" s="6"/>
      <c r="X406" s="6"/>
      <c r="Y406" s="6"/>
      <c r="Z406" s="6"/>
      <c r="AA406" s="6"/>
      <c r="AB406" s="5"/>
      <c r="AC406" s="174"/>
      <c r="AD406" s="175"/>
    </row>
    <row r="407" hidden="1">
      <c r="A407" s="1"/>
      <c r="B407" s="1"/>
      <c r="C407" s="1"/>
      <c r="D407" s="1"/>
      <c r="E407" s="1"/>
      <c r="F407" s="1"/>
      <c r="G407" s="1"/>
      <c r="H407" s="1"/>
      <c r="I407" s="1"/>
      <c r="J407" s="1"/>
      <c r="K407" s="1"/>
      <c r="L407" s="1"/>
      <c r="M407" s="1"/>
      <c r="N407" s="1"/>
      <c r="O407" s="1"/>
      <c r="P407" s="1"/>
      <c r="Q407" s="1"/>
      <c r="R407" s="1"/>
      <c r="S407" s="1"/>
      <c r="T407" s="1"/>
      <c r="U407" s="5"/>
      <c r="V407" s="6"/>
      <c r="W407" s="6"/>
      <c r="X407" s="6"/>
      <c r="Y407" s="6"/>
      <c r="Z407" s="6"/>
      <c r="AA407" s="6"/>
      <c r="AB407" s="5"/>
      <c r="AC407" s="174"/>
      <c r="AD407" s="175"/>
    </row>
    <row r="408" hidden="1">
      <c r="A408" s="1"/>
      <c r="B408" s="1"/>
      <c r="C408" s="1"/>
      <c r="D408" s="1"/>
      <c r="E408" s="1"/>
      <c r="F408" s="1"/>
      <c r="G408" s="1"/>
      <c r="H408" s="1"/>
      <c r="I408" s="1"/>
      <c r="J408" s="1"/>
      <c r="K408" s="1"/>
      <c r="L408" s="1"/>
      <c r="M408" s="1"/>
      <c r="N408" s="1"/>
      <c r="O408" s="1"/>
      <c r="P408" s="1"/>
      <c r="Q408" s="1"/>
      <c r="R408" s="1"/>
      <c r="S408" s="1"/>
      <c r="T408" s="1"/>
      <c r="U408" s="5"/>
      <c r="V408" s="6"/>
      <c r="W408" s="6"/>
      <c r="X408" s="6"/>
      <c r="Y408" s="6"/>
      <c r="Z408" s="6"/>
      <c r="AA408" s="6"/>
      <c r="AB408" s="5"/>
      <c r="AC408" s="174"/>
      <c r="AD408" s="175"/>
    </row>
    <row r="409" hidden="1">
      <c r="A409" s="1"/>
      <c r="B409" s="1"/>
      <c r="C409" s="1"/>
      <c r="D409" s="1"/>
      <c r="E409" s="1"/>
      <c r="F409" s="1"/>
      <c r="G409" s="1"/>
      <c r="H409" s="1"/>
      <c r="I409" s="1"/>
      <c r="J409" s="1"/>
      <c r="K409" s="1"/>
      <c r="L409" s="1"/>
      <c r="M409" s="1"/>
      <c r="N409" s="1"/>
      <c r="O409" s="1"/>
      <c r="P409" s="1"/>
      <c r="Q409" s="1"/>
      <c r="R409" s="1"/>
      <c r="S409" s="1"/>
      <c r="T409" s="1"/>
      <c r="U409" s="5"/>
      <c r="V409" s="6"/>
      <c r="W409" s="6"/>
      <c r="X409" s="6"/>
      <c r="Y409" s="6"/>
      <c r="Z409" s="6"/>
      <c r="AA409" s="6"/>
      <c r="AB409" s="5"/>
      <c r="AC409" s="174"/>
      <c r="AD409" s="175"/>
    </row>
    <row r="410" hidden="1">
      <c r="A410" s="1"/>
      <c r="B410" s="1"/>
      <c r="C410" s="1"/>
      <c r="D410" s="1"/>
      <c r="E410" s="1"/>
      <c r="F410" s="1"/>
      <c r="G410" s="1"/>
      <c r="H410" s="1"/>
      <c r="I410" s="1"/>
      <c r="J410" s="1"/>
      <c r="K410" s="1"/>
      <c r="L410" s="1"/>
      <c r="M410" s="1"/>
      <c r="N410" s="1"/>
      <c r="O410" s="1"/>
      <c r="P410" s="1"/>
      <c r="Q410" s="1"/>
      <c r="R410" s="1"/>
      <c r="S410" s="1"/>
      <c r="T410" s="1"/>
      <c r="U410" s="5"/>
      <c r="V410" s="6"/>
      <c r="W410" s="6"/>
      <c r="X410" s="6"/>
      <c r="Y410" s="6"/>
      <c r="Z410" s="6"/>
      <c r="AA410" s="6"/>
      <c r="AB410" s="5"/>
      <c r="AC410" s="174"/>
      <c r="AD410" s="175"/>
    </row>
    <row r="411" hidden="1">
      <c r="A411" s="1"/>
      <c r="B411" s="1"/>
      <c r="C411" s="1"/>
      <c r="D411" s="1"/>
      <c r="E411" s="1"/>
      <c r="F411" s="1"/>
      <c r="G411" s="1"/>
      <c r="H411" s="1"/>
      <c r="I411" s="1"/>
      <c r="J411" s="1"/>
      <c r="K411" s="1"/>
      <c r="L411" s="1"/>
      <c r="M411" s="1"/>
      <c r="N411" s="1"/>
      <c r="O411" s="1"/>
      <c r="P411" s="1"/>
      <c r="Q411" s="1"/>
      <c r="R411" s="1"/>
      <c r="S411" s="1"/>
      <c r="T411" s="1"/>
      <c r="U411" s="5"/>
      <c r="V411" s="6"/>
      <c r="W411" s="6"/>
      <c r="X411" s="6"/>
      <c r="Y411" s="6"/>
      <c r="Z411" s="6"/>
      <c r="AA411" s="6"/>
      <c r="AB411" s="5"/>
      <c r="AC411" s="174"/>
      <c r="AD411" s="175"/>
    </row>
    <row r="412" hidden="1">
      <c r="A412" s="1"/>
      <c r="B412" s="1"/>
      <c r="C412" s="1"/>
      <c r="D412" s="1"/>
      <c r="E412" s="1"/>
      <c r="F412" s="1"/>
      <c r="G412" s="1"/>
      <c r="H412" s="1"/>
      <c r="I412" s="1"/>
      <c r="J412" s="1"/>
      <c r="K412" s="1"/>
      <c r="L412" s="1"/>
      <c r="M412" s="1"/>
      <c r="N412" s="1"/>
      <c r="O412" s="1"/>
      <c r="P412" s="1"/>
      <c r="Q412" s="1"/>
      <c r="R412" s="1"/>
      <c r="S412" s="1"/>
      <c r="T412" s="1"/>
      <c r="U412" s="5"/>
      <c r="V412" s="6"/>
      <c r="W412" s="6"/>
      <c r="X412" s="6"/>
      <c r="Y412" s="6"/>
      <c r="Z412" s="6"/>
      <c r="AA412" s="6"/>
      <c r="AB412" s="5"/>
      <c r="AC412" s="174"/>
      <c r="AD412" s="175"/>
    </row>
    <row r="413" hidden="1">
      <c r="A413" s="1"/>
      <c r="B413" s="1"/>
      <c r="C413" s="1"/>
      <c r="D413" s="1"/>
      <c r="E413" s="1"/>
      <c r="F413" s="1"/>
      <c r="G413" s="1"/>
      <c r="H413" s="1"/>
      <c r="I413" s="1"/>
      <c r="J413" s="1"/>
      <c r="K413" s="1"/>
      <c r="L413" s="1"/>
      <c r="M413" s="1"/>
      <c r="N413" s="1"/>
      <c r="O413" s="1"/>
      <c r="P413" s="1"/>
      <c r="Q413" s="1"/>
      <c r="R413" s="1"/>
      <c r="S413" s="1"/>
      <c r="T413" s="1"/>
      <c r="U413" s="5"/>
      <c r="V413" s="6"/>
      <c r="W413" s="6"/>
      <c r="X413" s="6"/>
      <c r="Y413" s="6"/>
      <c r="Z413" s="6"/>
      <c r="AA413" s="6"/>
      <c r="AB413" s="5"/>
      <c r="AC413" s="174"/>
      <c r="AD413" s="175"/>
    </row>
    <row r="414" hidden="1">
      <c r="A414" s="1"/>
      <c r="B414" s="1"/>
      <c r="C414" s="1"/>
      <c r="D414" s="1"/>
      <c r="E414" s="1"/>
      <c r="F414" s="1"/>
      <c r="G414" s="1"/>
      <c r="H414" s="1"/>
      <c r="I414" s="1"/>
      <c r="J414" s="1"/>
      <c r="K414" s="1"/>
      <c r="L414" s="1"/>
      <c r="M414" s="1"/>
      <c r="N414" s="1"/>
      <c r="O414" s="1"/>
      <c r="P414" s="1"/>
      <c r="Q414" s="1"/>
      <c r="R414" s="1"/>
      <c r="S414" s="1"/>
      <c r="T414" s="1"/>
      <c r="U414" s="5"/>
      <c r="V414" s="6"/>
      <c r="W414" s="6"/>
      <c r="X414" s="6"/>
      <c r="Y414" s="6"/>
      <c r="Z414" s="6"/>
      <c r="AA414" s="6"/>
      <c r="AB414" s="5"/>
      <c r="AC414" s="174"/>
      <c r="AD414" s="175"/>
    </row>
    <row r="415" hidden="1">
      <c r="A415" s="1"/>
      <c r="B415" s="1"/>
      <c r="C415" s="1"/>
      <c r="D415" s="1"/>
      <c r="E415" s="1"/>
      <c r="F415" s="1"/>
      <c r="G415" s="1"/>
      <c r="H415" s="1"/>
      <c r="I415" s="1"/>
      <c r="J415" s="1"/>
      <c r="K415" s="1"/>
      <c r="L415" s="1"/>
      <c r="M415" s="1"/>
      <c r="N415" s="1"/>
      <c r="O415" s="1"/>
      <c r="P415" s="1"/>
      <c r="Q415" s="1"/>
      <c r="R415" s="1"/>
      <c r="S415" s="1"/>
      <c r="T415" s="1"/>
      <c r="U415" s="5"/>
      <c r="V415" s="6"/>
      <c r="W415" s="6"/>
      <c r="X415" s="6"/>
      <c r="Y415" s="6"/>
      <c r="Z415" s="6"/>
      <c r="AA415" s="6"/>
      <c r="AB415" s="5"/>
      <c r="AC415" s="174"/>
      <c r="AD415" s="175"/>
    </row>
    <row r="416" hidden="1">
      <c r="A416" s="1"/>
      <c r="B416" s="1"/>
      <c r="C416" s="1"/>
      <c r="D416" s="1"/>
      <c r="E416" s="1"/>
      <c r="F416" s="1"/>
      <c r="G416" s="1"/>
      <c r="H416" s="1"/>
      <c r="I416" s="1"/>
      <c r="J416" s="1"/>
      <c r="K416" s="1"/>
      <c r="L416" s="1"/>
      <c r="M416" s="1"/>
      <c r="N416" s="1"/>
      <c r="O416" s="1"/>
      <c r="P416" s="1"/>
      <c r="Q416" s="1"/>
      <c r="R416" s="1"/>
      <c r="S416" s="1"/>
      <c r="T416" s="1"/>
      <c r="U416" s="5"/>
      <c r="V416" s="6"/>
      <c r="W416" s="6"/>
      <c r="X416" s="6"/>
      <c r="Y416" s="6"/>
      <c r="Z416" s="6"/>
      <c r="AA416" s="6"/>
      <c r="AB416" s="5"/>
      <c r="AC416" s="174"/>
      <c r="AD416" s="175"/>
    </row>
    <row r="417" hidden="1">
      <c r="A417" s="1"/>
      <c r="B417" s="1"/>
      <c r="C417" s="1"/>
      <c r="D417" s="1"/>
      <c r="E417" s="1"/>
      <c r="F417" s="1"/>
      <c r="G417" s="1"/>
      <c r="H417" s="1"/>
      <c r="I417" s="1"/>
      <c r="J417" s="1"/>
      <c r="K417" s="1"/>
      <c r="L417" s="1"/>
      <c r="M417" s="1"/>
      <c r="N417" s="1"/>
      <c r="O417" s="1"/>
      <c r="P417" s="1"/>
      <c r="Q417" s="1"/>
      <c r="R417" s="1"/>
      <c r="S417" s="1"/>
      <c r="T417" s="1"/>
      <c r="U417" s="5"/>
      <c r="V417" s="6"/>
      <c r="W417" s="6"/>
      <c r="X417" s="6"/>
      <c r="Y417" s="6"/>
      <c r="Z417" s="6"/>
      <c r="AA417" s="6"/>
      <c r="AB417" s="5"/>
      <c r="AC417" s="174"/>
      <c r="AD417" s="175"/>
    </row>
    <row r="418" hidden="1">
      <c r="A418" s="1"/>
      <c r="B418" s="1"/>
      <c r="C418" s="1"/>
      <c r="D418" s="1"/>
      <c r="E418" s="1"/>
      <c r="F418" s="1"/>
      <c r="G418" s="1"/>
      <c r="H418" s="1"/>
      <c r="I418" s="1"/>
      <c r="J418" s="1"/>
      <c r="K418" s="1"/>
      <c r="L418" s="1"/>
      <c r="M418" s="1"/>
      <c r="N418" s="1"/>
      <c r="O418" s="1"/>
      <c r="P418" s="1"/>
      <c r="Q418" s="1"/>
      <c r="R418" s="1"/>
      <c r="S418" s="1"/>
      <c r="T418" s="1"/>
      <c r="U418" s="5"/>
      <c r="V418" s="6"/>
      <c r="W418" s="6"/>
      <c r="X418" s="6"/>
      <c r="Y418" s="6"/>
      <c r="Z418" s="6"/>
      <c r="AA418" s="6"/>
      <c r="AB418" s="5"/>
      <c r="AC418" s="174"/>
      <c r="AD418" s="175"/>
    </row>
    <row r="419" hidden="1">
      <c r="A419" s="1"/>
      <c r="B419" s="1"/>
      <c r="C419" s="1"/>
      <c r="D419" s="1"/>
      <c r="E419" s="1"/>
      <c r="F419" s="1"/>
      <c r="G419" s="1"/>
      <c r="H419" s="1"/>
      <c r="I419" s="1"/>
      <c r="J419" s="1"/>
      <c r="K419" s="1"/>
      <c r="L419" s="1"/>
      <c r="M419" s="1"/>
      <c r="N419" s="1"/>
      <c r="O419" s="1"/>
      <c r="P419" s="1"/>
      <c r="Q419" s="1"/>
      <c r="R419" s="1"/>
      <c r="S419" s="1"/>
      <c r="T419" s="1"/>
      <c r="U419" s="5"/>
      <c r="V419" s="6"/>
      <c r="W419" s="6"/>
      <c r="X419" s="6"/>
      <c r="Y419" s="6"/>
      <c r="Z419" s="6"/>
      <c r="AA419" s="6"/>
      <c r="AB419" s="5"/>
      <c r="AC419" s="174"/>
      <c r="AD419" s="175"/>
    </row>
    <row r="420" hidden="1">
      <c r="A420" s="1"/>
      <c r="B420" s="1"/>
      <c r="C420" s="1"/>
      <c r="D420" s="1"/>
      <c r="E420" s="1"/>
      <c r="F420" s="1"/>
      <c r="G420" s="1"/>
      <c r="H420" s="1"/>
      <c r="I420" s="1"/>
      <c r="J420" s="1"/>
      <c r="K420" s="1"/>
      <c r="L420" s="1"/>
      <c r="M420" s="1"/>
      <c r="N420" s="1"/>
      <c r="O420" s="1"/>
      <c r="P420" s="1"/>
      <c r="Q420" s="1"/>
      <c r="R420" s="1"/>
      <c r="S420" s="1"/>
      <c r="T420" s="1"/>
      <c r="U420" s="5"/>
      <c r="V420" s="6"/>
      <c r="W420" s="6"/>
      <c r="X420" s="6"/>
      <c r="Y420" s="6"/>
      <c r="Z420" s="6"/>
      <c r="AA420" s="6"/>
      <c r="AB420" s="5"/>
      <c r="AC420" s="174"/>
      <c r="AD420" s="175"/>
    </row>
    <row r="421" hidden="1">
      <c r="A421" s="1"/>
      <c r="B421" s="1"/>
      <c r="C421" s="1"/>
      <c r="D421" s="1"/>
      <c r="E421" s="1"/>
      <c r="F421" s="1"/>
      <c r="G421" s="1"/>
      <c r="H421" s="1"/>
      <c r="I421" s="1"/>
      <c r="J421" s="1"/>
      <c r="K421" s="1"/>
      <c r="L421" s="1"/>
      <c r="M421" s="1"/>
      <c r="N421" s="1"/>
      <c r="O421" s="1"/>
      <c r="P421" s="1"/>
      <c r="Q421" s="1"/>
      <c r="R421" s="1"/>
      <c r="S421" s="1"/>
      <c r="T421" s="1"/>
      <c r="U421" s="5"/>
      <c r="V421" s="6"/>
      <c r="W421" s="6"/>
      <c r="X421" s="6"/>
      <c r="Y421" s="6"/>
      <c r="Z421" s="6"/>
      <c r="AA421" s="6"/>
      <c r="AB421" s="5"/>
      <c r="AC421" s="174"/>
      <c r="AD421" s="175"/>
    </row>
    <row r="422" hidden="1">
      <c r="A422" s="1"/>
      <c r="B422" s="1"/>
      <c r="C422" s="1"/>
      <c r="D422" s="1"/>
      <c r="E422" s="1"/>
      <c r="F422" s="1"/>
      <c r="G422" s="1"/>
      <c r="H422" s="1"/>
      <c r="I422" s="1"/>
      <c r="J422" s="1"/>
      <c r="K422" s="1"/>
      <c r="L422" s="1"/>
      <c r="M422" s="1"/>
      <c r="N422" s="1"/>
      <c r="O422" s="1"/>
      <c r="P422" s="1"/>
      <c r="Q422" s="1"/>
      <c r="R422" s="1"/>
      <c r="S422" s="1"/>
      <c r="T422" s="1"/>
      <c r="U422" s="5"/>
      <c r="V422" s="6"/>
      <c r="W422" s="6"/>
      <c r="X422" s="6"/>
      <c r="Y422" s="6"/>
      <c r="Z422" s="6"/>
      <c r="AA422" s="6"/>
      <c r="AB422" s="5"/>
      <c r="AC422" s="174"/>
      <c r="AD422" s="175"/>
    </row>
    <row r="423" hidden="1">
      <c r="A423" s="1"/>
      <c r="B423" s="1"/>
      <c r="C423" s="1"/>
      <c r="D423" s="1"/>
      <c r="E423" s="1"/>
      <c r="F423" s="1"/>
      <c r="G423" s="1"/>
      <c r="H423" s="1"/>
      <c r="I423" s="1"/>
      <c r="J423" s="1"/>
      <c r="K423" s="1"/>
      <c r="L423" s="1"/>
      <c r="M423" s="1"/>
      <c r="N423" s="1"/>
      <c r="O423" s="1"/>
      <c r="P423" s="1"/>
      <c r="Q423" s="1"/>
      <c r="R423" s="1"/>
      <c r="S423" s="1"/>
      <c r="T423" s="1"/>
      <c r="U423" s="5"/>
      <c r="V423" s="6"/>
      <c r="W423" s="6"/>
      <c r="X423" s="6"/>
      <c r="Y423" s="6"/>
      <c r="Z423" s="6"/>
      <c r="AA423" s="6"/>
      <c r="AB423" s="5"/>
      <c r="AC423" s="174"/>
      <c r="AD423" s="175"/>
    </row>
    <row r="424" hidden="1">
      <c r="A424" s="1"/>
      <c r="B424" s="1"/>
      <c r="C424" s="1"/>
      <c r="D424" s="1"/>
      <c r="E424" s="1"/>
      <c r="F424" s="1"/>
      <c r="G424" s="1"/>
      <c r="H424" s="1"/>
      <c r="I424" s="1"/>
      <c r="J424" s="1"/>
      <c r="K424" s="1"/>
      <c r="L424" s="1"/>
      <c r="M424" s="1"/>
      <c r="N424" s="1"/>
      <c r="O424" s="1"/>
      <c r="P424" s="1"/>
      <c r="Q424" s="1"/>
      <c r="R424" s="1"/>
      <c r="S424" s="1"/>
      <c r="T424" s="1"/>
      <c r="U424" s="5"/>
      <c r="V424" s="6"/>
      <c r="W424" s="6"/>
      <c r="X424" s="6"/>
      <c r="Y424" s="6"/>
      <c r="Z424" s="6"/>
      <c r="AA424" s="6"/>
      <c r="AB424" s="5"/>
      <c r="AC424" s="174"/>
      <c r="AD424" s="175"/>
    </row>
    <row r="425" hidden="1">
      <c r="A425" s="1"/>
      <c r="B425" s="1"/>
      <c r="C425" s="1"/>
      <c r="D425" s="1"/>
      <c r="E425" s="1"/>
      <c r="F425" s="1"/>
      <c r="G425" s="1"/>
      <c r="H425" s="1"/>
      <c r="I425" s="1"/>
      <c r="J425" s="1"/>
      <c r="K425" s="1"/>
      <c r="L425" s="1"/>
      <c r="M425" s="1"/>
      <c r="N425" s="1"/>
      <c r="O425" s="1"/>
      <c r="P425" s="1"/>
      <c r="Q425" s="1"/>
      <c r="R425" s="1"/>
      <c r="S425" s="1"/>
      <c r="T425" s="1"/>
      <c r="U425" s="5"/>
      <c r="V425" s="6"/>
      <c r="W425" s="6"/>
      <c r="X425" s="6"/>
      <c r="Y425" s="6"/>
      <c r="Z425" s="6"/>
      <c r="AA425" s="6"/>
      <c r="AB425" s="5"/>
      <c r="AC425" s="174"/>
      <c r="AD425" s="175"/>
    </row>
    <row r="426" hidden="1">
      <c r="A426" s="1"/>
      <c r="B426" s="1"/>
      <c r="C426" s="1"/>
      <c r="D426" s="1"/>
      <c r="E426" s="1"/>
      <c r="F426" s="1"/>
      <c r="G426" s="1"/>
      <c r="H426" s="1"/>
      <c r="I426" s="1"/>
      <c r="J426" s="1"/>
      <c r="K426" s="1"/>
      <c r="L426" s="1"/>
      <c r="M426" s="1"/>
      <c r="N426" s="1"/>
      <c r="O426" s="1"/>
      <c r="P426" s="1"/>
      <c r="Q426" s="1"/>
      <c r="R426" s="1"/>
      <c r="S426" s="1"/>
      <c r="T426" s="1"/>
      <c r="U426" s="5"/>
      <c r="V426" s="6"/>
      <c r="W426" s="6"/>
      <c r="X426" s="6"/>
      <c r="Y426" s="6"/>
      <c r="Z426" s="6"/>
      <c r="AA426" s="6"/>
      <c r="AB426" s="5"/>
      <c r="AC426" s="174"/>
      <c r="AD426" s="175"/>
    </row>
    <row r="427" hidden="1">
      <c r="A427" s="1"/>
      <c r="B427" s="1"/>
      <c r="C427" s="1"/>
      <c r="D427" s="1"/>
      <c r="E427" s="1"/>
      <c r="F427" s="1"/>
      <c r="G427" s="1"/>
      <c r="H427" s="1"/>
      <c r="I427" s="1"/>
      <c r="J427" s="1"/>
      <c r="K427" s="1"/>
      <c r="L427" s="1"/>
      <c r="M427" s="1"/>
      <c r="N427" s="1"/>
      <c r="O427" s="1"/>
      <c r="P427" s="1"/>
      <c r="Q427" s="1"/>
      <c r="R427" s="1"/>
      <c r="S427" s="1"/>
      <c r="T427" s="1"/>
      <c r="U427" s="5"/>
      <c r="V427" s="6"/>
      <c r="W427" s="6"/>
      <c r="X427" s="6"/>
      <c r="Y427" s="6"/>
      <c r="Z427" s="6"/>
      <c r="AA427" s="6"/>
      <c r="AB427" s="5"/>
      <c r="AC427" s="174"/>
      <c r="AD427" s="175"/>
    </row>
    <row r="428" hidden="1">
      <c r="A428" s="1"/>
      <c r="B428" s="1"/>
      <c r="C428" s="1"/>
      <c r="D428" s="1"/>
      <c r="E428" s="1"/>
      <c r="F428" s="1"/>
      <c r="G428" s="1"/>
      <c r="H428" s="1"/>
      <c r="I428" s="1"/>
      <c r="J428" s="1"/>
      <c r="K428" s="1"/>
      <c r="L428" s="1"/>
      <c r="M428" s="1"/>
      <c r="N428" s="1"/>
      <c r="O428" s="1"/>
      <c r="P428" s="1"/>
      <c r="Q428" s="1"/>
      <c r="R428" s="1"/>
      <c r="S428" s="1"/>
      <c r="T428" s="1"/>
      <c r="U428" s="5"/>
      <c r="V428" s="6"/>
      <c r="W428" s="6"/>
      <c r="X428" s="6"/>
      <c r="Y428" s="6"/>
      <c r="Z428" s="6"/>
      <c r="AA428" s="6"/>
      <c r="AB428" s="5"/>
      <c r="AC428" s="174"/>
      <c r="AD428" s="175"/>
    </row>
    <row r="429" hidden="1">
      <c r="A429" s="1"/>
      <c r="B429" s="1"/>
      <c r="C429" s="1"/>
      <c r="D429" s="1"/>
      <c r="E429" s="1"/>
      <c r="F429" s="1"/>
      <c r="G429" s="1"/>
      <c r="H429" s="1"/>
      <c r="I429" s="1"/>
      <c r="J429" s="1"/>
      <c r="K429" s="1"/>
      <c r="L429" s="1"/>
      <c r="M429" s="1"/>
      <c r="N429" s="1"/>
      <c r="O429" s="1"/>
      <c r="P429" s="1"/>
      <c r="Q429" s="1"/>
      <c r="R429" s="1"/>
      <c r="S429" s="1"/>
      <c r="T429" s="1"/>
      <c r="U429" s="5"/>
      <c r="V429" s="6"/>
      <c r="W429" s="6"/>
      <c r="X429" s="6"/>
      <c r="Y429" s="6"/>
      <c r="Z429" s="6"/>
      <c r="AA429" s="6"/>
      <c r="AB429" s="5"/>
      <c r="AC429" s="174"/>
      <c r="AD429" s="175"/>
    </row>
    <row r="430" hidden="1">
      <c r="A430" s="1"/>
      <c r="B430" s="1"/>
      <c r="C430" s="1"/>
      <c r="D430" s="1"/>
      <c r="E430" s="1"/>
      <c r="F430" s="1"/>
      <c r="G430" s="1"/>
      <c r="H430" s="1"/>
      <c r="I430" s="1"/>
      <c r="J430" s="1"/>
      <c r="K430" s="1"/>
      <c r="L430" s="1"/>
      <c r="M430" s="1"/>
      <c r="N430" s="1"/>
      <c r="O430" s="1"/>
      <c r="P430" s="1"/>
      <c r="Q430" s="1"/>
      <c r="R430" s="1"/>
      <c r="S430" s="1"/>
      <c r="T430" s="1"/>
      <c r="U430" s="5"/>
      <c r="V430" s="6"/>
      <c r="W430" s="6"/>
      <c r="X430" s="6"/>
      <c r="Y430" s="6"/>
      <c r="Z430" s="6"/>
      <c r="AA430" s="6"/>
      <c r="AB430" s="5"/>
      <c r="AC430" s="174"/>
      <c r="AD430" s="175"/>
    </row>
    <row r="431" hidden="1">
      <c r="A431" s="1"/>
      <c r="B431" s="1"/>
      <c r="C431" s="1"/>
      <c r="D431" s="1"/>
      <c r="E431" s="1"/>
      <c r="F431" s="1"/>
      <c r="G431" s="1"/>
      <c r="H431" s="1"/>
      <c r="I431" s="1"/>
      <c r="J431" s="1"/>
      <c r="K431" s="1"/>
      <c r="L431" s="1"/>
      <c r="M431" s="1"/>
      <c r="N431" s="1"/>
      <c r="O431" s="1"/>
      <c r="P431" s="1"/>
      <c r="Q431" s="1"/>
      <c r="R431" s="1"/>
      <c r="S431" s="1"/>
      <c r="T431" s="1"/>
      <c r="U431" s="5"/>
      <c r="V431" s="6"/>
      <c r="W431" s="6"/>
      <c r="X431" s="6"/>
      <c r="Y431" s="6"/>
      <c r="Z431" s="6"/>
      <c r="AA431" s="6"/>
      <c r="AB431" s="5"/>
      <c r="AC431" s="174"/>
      <c r="AD431" s="175"/>
    </row>
    <row r="432" hidden="1">
      <c r="A432" s="1"/>
      <c r="B432" s="1"/>
      <c r="C432" s="1"/>
      <c r="D432" s="1"/>
      <c r="E432" s="1"/>
      <c r="F432" s="1"/>
      <c r="G432" s="1"/>
      <c r="H432" s="1"/>
      <c r="I432" s="1"/>
      <c r="J432" s="1"/>
      <c r="K432" s="1"/>
      <c r="L432" s="1"/>
      <c r="M432" s="1"/>
      <c r="N432" s="1"/>
      <c r="O432" s="1"/>
      <c r="P432" s="1"/>
      <c r="Q432" s="1"/>
      <c r="R432" s="1"/>
      <c r="S432" s="1"/>
      <c r="T432" s="1"/>
      <c r="U432" s="5"/>
      <c r="V432" s="6"/>
      <c r="W432" s="6"/>
      <c r="X432" s="6"/>
      <c r="Y432" s="6"/>
      <c r="Z432" s="6"/>
      <c r="AA432" s="6"/>
      <c r="AB432" s="5"/>
      <c r="AC432" s="174"/>
      <c r="AD432" s="175"/>
    </row>
    <row r="433" hidden="1">
      <c r="A433" s="1"/>
      <c r="B433" s="1"/>
      <c r="C433" s="1"/>
      <c r="D433" s="1"/>
      <c r="E433" s="1"/>
      <c r="F433" s="1"/>
      <c r="G433" s="1"/>
      <c r="H433" s="1"/>
      <c r="I433" s="1"/>
      <c r="J433" s="1"/>
      <c r="K433" s="1"/>
      <c r="L433" s="1"/>
      <c r="M433" s="1"/>
      <c r="N433" s="1"/>
      <c r="O433" s="1"/>
      <c r="P433" s="1"/>
      <c r="Q433" s="1"/>
      <c r="R433" s="1"/>
      <c r="S433" s="1"/>
      <c r="T433" s="1"/>
      <c r="U433" s="5"/>
      <c r="V433" s="6"/>
      <c r="W433" s="6"/>
      <c r="X433" s="6"/>
      <c r="Y433" s="6"/>
      <c r="Z433" s="6"/>
      <c r="AA433" s="6"/>
      <c r="AB433" s="5"/>
      <c r="AC433" s="174"/>
      <c r="AD433" s="175"/>
    </row>
    <row r="434" hidden="1">
      <c r="A434" s="1"/>
      <c r="B434" s="1"/>
      <c r="C434" s="1"/>
      <c r="D434" s="1"/>
      <c r="E434" s="1"/>
      <c r="F434" s="1"/>
      <c r="G434" s="1"/>
      <c r="H434" s="1"/>
      <c r="I434" s="1"/>
      <c r="J434" s="1"/>
      <c r="K434" s="1"/>
      <c r="L434" s="1"/>
      <c r="M434" s="1"/>
      <c r="N434" s="1"/>
      <c r="O434" s="1"/>
      <c r="P434" s="1"/>
      <c r="Q434" s="1"/>
      <c r="R434" s="1"/>
      <c r="S434" s="1"/>
      <c r="T434" s="1"/>
      <c r="U434" s="5"/>
      <c r="V434" s="6"/>
      <c r="W434" s="6"/>
      <c r="X434" s="6"/>
      <c r="Y434" s="6"/>
      <c r="Z434" s="6"/>
      <c r="AA434" s="6"/>
      <c r="AB434" s="5"/>
      <c r="AC434" s="174"/>
      <c r="AD434" s="175"/>
    </row>
    <row r="435" hidden="1">
      <c r="A435" s="1"/>
      <c r="B435" s="1"/>
      <c r="C435" s="1"/>
      <c r="D435" s="1"/>
      <c r="E435" s="1"/>
      <c r="F435" s="1"/>
      <c r="G435" s="1"/>
      <c r="H435" s="1"/>
      <c r="I435" s="1"/>
      <c r="J435" s="1"/>
      <c r="K435" s="1"/>
      <c r="L435" s="1"/>
      <c r="M435" s="1"/>
      <c r="N435" s="1"/>
      <c r="O435" s="1"/>
      <c r="P435" s="1"/>
      <c r="Q435" s="1"/>
      <c r="R435" s="1"/>
      <c r="S435" s="1"/>
      <c r="T435" s="1"/>
      <c r="U435" s="5"/>
      <c r="V435" s="6"/>
      <c r="W435" s="6"/>
      <c r="X435" s="6"/>
      <c r="Y435" s="6"/>
      <c r="Z435" s="6"/>
      <c r="AA435" s="6"/>
      <c r="AB435" s="5"/>
      <c r="AC435" s="174"/>
      <c r="AD435" s="175"/>
    </row>
    <row r="436" hidden="1">
      <c r="A436" s="1"/>
      <c r="B436" s="1"/>
      <c r="C436" s="1"/>
      <c r="D436" s="1"/>
      <c r="E436" s="1"/>
      <c r="F436" s="1"/>
      <c r="G436" s="1"/>
      <c r="H436" s="1"/>
      <c r="I436" s="1"/>
      <c r="J436" s="1"/>
      <c r="K436" s="1"/>
      <c r="L436" s="1"/>
      <c r="M436" s="1"/>
      <c r="N436" s="1"/>
      <c r="O436" s="1"/>
      <c r="P436" s="1"/>
      <c r="Q436" s="1"/>
      <c r="R436" s="1"/>
      <c r="S436" s="1"/>
      <c r="T436" s="1"/>
      <c r="U436" s="5"/>
      <c r="V436" s="6"/>
      <c r="W436" s="6"/>
      <c r="X436" s="6"/>
      <c r="Y436" s="6"/>
      <c r="Z436" s="6"/>
      <c r="AA436" s="6"/>
      <c r="AB436" s="5"/>
      <c r="AC436" s="174"/>
      <c r="AD436" s="175"/>
    </row>
    <row r="437" hidden="1">
      <c r="A437" s="1"/>
      <c r="B437" s="1"/>
      <c r="C437" s="1"/>
      <c r="D437" s="1"/>
      <c r="E437" s="1"/>
      <c r="F437" s="1"/>
      <c r="G437" s="1"/>
      <c r="H437" s="1"/>
      <c r="I437" s="1"/>
      <c r="J437" s="1"/>
      <c r="K437" s="1"/>
      <c r="L437" s="1"/>
      <c r="M437" s="1"/>
      <c r="N437" s="1"/>
      <c r="O437" s="1"/>
      <c r="P437" s="1"/>
      <c r="Q437" s="1"/>
      <c r="R437" s="1"/>
      <c r="S437" s="1"/>
      <c r="T437" s="1"/>
      <c r="U437" s="5"/>
      <c r="V437" s="6"/>
      <c r="W437" s="6"/>
      <c r="X437" s="6"/>
      <c r="Y437" s="6"/>
      <c r="Z437" s="6"/>
      <c r="AA437" s="6"/>
      <c r="AB437" s="5"/>
      <c r="AC437" s="174"/>
      <c r="AD437" s="175"/>
    </row>
    <row r="438" hidden="1">
      <c r="A438" s="1"/>
      <c r="B438" s="1"/>
      <c r="C438" s="1"/>
      <c r="D438" s="1"/>
      <c r="E438" s="1"/>
      <c r="F438" s="1"/>
      <c r="G438" s="1"/>
      <c r="H438" s="1"/>
      <c r="I438" s="1"/>
      <c r="J438" s="1"/>
      <c r="K438" s="1"/>
      <c r="L438" s="1"/>
      <c r="M438" s="1"/>
      <c r="N438" s="1"/>
      <c r="O438" s="1"/>
      <c r="P438" s="1"/>
      <c r="Q438" s="1"/>
      <c r="R438" s="1"/>
      <c r="S438" s="1"/>
      <c r="T438" s="1"/>
      <c r="U438" s="5"/>
      <c r="V438" s="6"/>
      <c r="W438" s="6"/>
      <c r="X438" s="6"/>
      <c r="Y438" s="6"/>
      <c r="Z438" s="6"/>
      <c r="AA438" s="6"/>
      <c r="AB438" s="5"/>
      <c r="AC438" s="174"/>
      <c r="AD438" s="175"/>
    </row>
    <row r="439" hidden="1">
      <c r="A439" s="1"/>
      <c r="B439" s="1"/>
      <c r="C439" s="1"/>
      <c r="D439" s="1"/>
      <c r="E439" s="1"/>
      <c r="F439" s="1"/>
      <c r="G439" s="1"/>
      <c r="H439" s="1"/>
      <c r="I439" s="1"/>
      <c r="J439" s="1"/>
      <c r="K439" s="1"/>
      <c r="L439" s="1"/>
      <c r="M439" s="1"/>
      <c r="N439" s="1"/>
      <c r="O439" s="1"/>
      <c r="P439" s="1"/>
      <c r="Q439" s="1"/>
      <c r="R439" s="1"/>
      <c r="S439" s="1"/>
      <c r="T439" s="1"/>
      <c r="U439" s="5"/>
      <c r="V439" s="6"/>
      <c r="W439" s="6"/>
      <c r="X439" s="6"/>
      <c r="Y439" s="6"/>
      <c r="Z439" s="6"/>
      <c r="AA439" s="6"/>
      <c r="AB439" s="5"/>
      <c r="AC439" s="174"/>
      <c r="AD439" s="175"/>
    </row>
    <row r="440" hidden="1">
      <c r="A440" s="1"/>
      <c r="B440" s="1"/>
      <c r="C440" s="1"/>
      <c r="D440" s="1"/>
      <c r="E440" s="1"/>
      <c r="F440" s="1"/>
      <c r="G440" s="1"/>
      <c r="H440" s="1"/>
      <c r="I440" s="1"/>
      <c r="J440" s="1"/>
      <c r="K440" s="1"/>
      <c r="L440" s="1"/>
      <c r="M440" s="1"/>
      <c r="N440" s="1"/>
      <c r="O440" s="1"/>
      <c r="P440" s="1"/>
      <c r="Q440" s="1"/>
      <c r="R440" s="1"/>
      <c r="S440" s="1"/>
      <c r="T440" s="1"/>
      <c r="U440" s="5"/>
      <c r="V440" s="6"/>
      <c r="W440" s="6"/>
      <c r="X440" s="6"/>
      <c r="Y440" s="6"/>
      <c r="Z440" s="6"/>
      <c r="AA440" s="6"/>
      <c r="AB440" s="5"/>
      <c r="AC440" s="174"/>
      <c r="AD440" s="175"/>
    </row>
    <row r="441" hidden="1">
      <c r="A441" s="1"/>
      <c r="B441" s="1"/>
      <c r="C441" s="1"/>
      <c r="D441" s="1"/>
      <c r="E441" s="1"/>
      <c r="F441" s="1"/>
      <c r="G441" s="1"/>
      <c r="H441" s="1"/>
      <c r="I441" s="1"/>
      <c r="J441" s="1"/>
      <c r="K441" s="1"/>
      <c r="L441" s="1"/>
      <c r="M441" s="1"/>
      <c r="N441" s="1"/>
      <c r="O441" s="1"/>
      <c r="P441" s="1"/>
      <c r="Q441" s="1"/>
      <c r="R441" s="1"/>
      <c r="S441" s="1"/>
      <c r="T441" s="1"/>
      <c r="U441" s="5"/>
      <c r="V441" s="6"/>
      <c r="W441" s="6"/>
      <c r="X441" s="6"/>
      <c r="Y441" s="6"/>
      <c r="Z441" s="6"/>
      <c r="AA441" s="6"/>
      <c r="AB441" s="5"/>
      <c r="AC441" s="174"/>
      <c r="AD441" s="175"/>
    </row>
    <row r="442" hidden="1">
      <c r="A442" s="1"/>
      <c r="B442" s="1"/>
      <c r="C442" s="1"/>
      <c r="D442" s="1"/>
      <c r="E442" s="1"/>
      <c r="F442" s="1"/>
      <c r="G442" s="1"/>
      <c r="H442" s="1"/>
      <c r="I442" s="1"/>
      <c r="J442" s="1"/>
      <c r="K442" s="1"/>
      <c r="L442" s="1"/>
      <c r="M442" s="1"/>
      <c r="N442" s="1"/>
      <c r="O442" s="1"/>
      <c r="P442" s="1"/>
      <c r="Q442" s="1"/>
      <c r="R442" s="1"/>
      <c r="S442" s="1"/>
      <c r="T442" s="1"/>
      <c r="U442" s="5"/>
      <c r="V442" s="6"/>
      <c r="W442" s="6"/>
      <c r="X442" s="6"/>
      <c r="Y442" s="6"/>
      <c r="Z442" s="6"/>
      <c r="AA442" s="6"/>
      <c r="AB442" s="5"/>
      <c r="AC442" s="174"/>
      <c r="AD442" s="175"/>
    </row>
    <row r="443" hidden="1">
      <c r="A443" s="1"/>
      <c r="B443" s="1"/>
      <c r="C443" s="1"/>
      <c r="D443" s="1"/>
      <c r="E443" s="1"/>
      <c r="F443" s="1"/>
      <c r="G443" s="1"/>
      <c r="H443" s="1"/>
      <c r="I443" s="1"/>
      <c r="J443" s="1"/>
      <c r="K443" s="1"/>
      <c r="L443" s="1"/>
      <c r="M443" s="1"/>
      <c r="N443" s="1"/>
      <c r="O443" s="1"/>
      <c r="P443" s="1"/>
      <c r="Q443" s="1"/>
      <c r="R443" s="1"/>
      <c r="S443" s="1"/>
      <c r="T443" s="1"/>
      <c r="U443" s="5"/>
      <c r="V443" s="6"/>
      <c r="W443" s="6"/>
      <c r="X443" s="6"/>
      <c r="Y443" s="6"/>
      <c r="Z443" s="6"/>
      <c r="AA443" s="6"/>
      <c r="AB443" s="5"/>
      <c r="AC443" s="174"/>
      <c r="AD443" s="175"/>
    </row>
    <row r="444" hidden="1">
      <c r="A444" s="1"/>
      <c r="B444" s="1"/>
      <c r="C444" s="1"/>
      <c r="D444" s="1"/>
      <c r="E444" s="1"/>
      <c r="F444" s="1"/>
      <c r="G444" s="1"/>
      <c r="H444" s="1"/>
      <c r="I444" s="1"/>
      <c r="J444" s="1"/>
      <c r="K444" s="1"/>
      <c r="L444" s="1"/>
      <c r="M444" s="1"/>
      <c r="N444" s="1"/>
      <c r="O444" s="1"/>
      <c r="P444" s="1"/>
      <c r="Q444" s="1"/>
      <c r="R444" s="1"/>
      <c r="S444" s="1"/>
      <c r="T444" s="1"/>
      <c r="U444" s="5"/>
      <c r="V444" s="6"/>
      <c r="W444" s="6"/>
      <c r="X444" s="6"/>
      <c r="Y444" s="6"/>
      <c r="Z444" s="6"/>
      <c r="AA444" s="6"/>
      <c r="AB444" s="5"/>
      <c r="AC444" s="174"/>
      <c r="AD444" s="175"/>
    </row>
    <row r="445" hidden="1">
      <c r="A445" s="1"/>
      <c r="B445" s="1"/>
      <c r="C445" s="1"/>
      <c r="D445" s="1"/>
      <c r="E445" s="1"/>
      <c r="F445" s="1"/>
      <c r="G445" s="1"/>
      <c r="H445" s="1"/>
      <c r="I445" s="1"/>
      <c r="J445" s="1"/>
      <c r="K445" s="1"/>
      <c r="L445" s="1"/>
      <c r="M445" s="1"/>
      <c r="N445" s="1"/>
      <c r="O445" s="1"/>
      <c r="P445" s="1"/>
      <c r="Q445" s="1"/>
      <c r="R445" s="1"/>
      <c r="S445" s="1"/>
      <c r="T445" s="1"/>
      <c r="U445" s="5"/>
      <c r="V445" s="6"/>
      <c r="W445" s="6"/>
      <c r="X445" s="6"/>
      <c r="Y445" s="6"/>
      <c r="Z445" s="6"/>
      <c r="AA445" s="6"/>
      <c r="AB445" s="5"/>
      <c r="AC445" s="174"/>
      <c r="AD445" s="175"/>
    </row>
    <row r="446" hidden="1">
      <c r="A446" s="1"/>
      <c r="B446" s="1"/>
      <c r="C446" s="1"/>
      <c r="D446" s="1"/>
      <c r="E446" s="1"/>
      <c r="F446" s="1"/>
      <c r="G446" s="1"/>
      <c r="H446" s="1"/>
      <c r="I446" s="1"/>
      <c r="J446" s="1"/>
      <c r="K446" s="1"/>
      <c r="L446" s="1"/>
      <c r="M446" s="1"/>
      <c r="N446" s="1"/>
      <c r="O446" s="1"/>
      <c r="P446" s="1"/>
      <c r="Q446" s="1"/>
      <c r="R446" s="1"/>
      <c r="S446" s="1"/>
      <c r="T446" s="1"/>
      <c r="U446" s="5"/>
      <c r="V446" s="6"/>
      <c r="W446" s="6"/>
      <c r="X446" s="6"/>
      <c r="Y446" s="6"/>
      <c r="Z446" s="6"/>
      <c r="AA446" s="6"/>
      <c r="AB446" s="5"/>
      <c r="AC446" s="174"/>
      <c r="AD446" s="175"/>
    </row>
    <row r="447" hidden="1">
      <c r="A447" s="1"/>
      <c r="B447" s="1"/>
      <c r="C447" s="1"/>
      <c r="D447" s="1"/>
      <c r="E447" s="1"/>
      <c r="F447" s="1"/>
      <c r="G447" s="1"/>
      <c r="H447" s="1"/>
      <c r="I447" s="1"/>
      <c r="J447" s="1"/>
      <c r="K447" s="1"/>
      <c r="L447" s="1"/>
      <c r="M447" s="1"/>
      <c r="N447" s="1"/>
      <c r="O447" s="1"/>
      <c r="P447" s="1"/>
      <c r="Q447" s="1"/>
      <c r="R447" s="1"/>
      <c r="S447" s="1"/>
      <c r="T447" s="1"/>
      <c r="U447" s="5"/>
      <c r="V447" s="6"/>
      <c r="W447" s="6"/>
      <c r="X447" s="6"/>
      <c r="Y447" s="6"/>
      <c r="Z447" s="6"/>
      <c r="AA447" s="6"/>
      <c r="AB447" s="5"/>
      <c r="AC447" s="262"/>
      <c r="AD447" s="96"/>
    </row>
    <row r="448" hidden="1">
      <c r="A448" s="1"/>
      <c r="B448" s="1"/>
      <c r="C448" s="1"/>
      <c r="D448" s="1"/>
      <c r="E448" s="1"/>
      <c r="F448" s="1"/>
      <c r="G448" s="1"/>
      <c r="H448" s="1"/>
      <c r="I448" s="1"/>
      <c r="J448" s="1"/>
      <c r="K448" s="1"/>
      <c r="L448" s="1"/>
      <c r="M448" s="1"/>
      <c r="N448" s="1"/>
      <c r="O448" s="1"/>
      <c r="P448" s="1"/>
      <c r="Q448" s="1"/>
      <c r="R448" s="1"/>
      <c r="S448" s="1"/>
      <c r="T448" s="1"/>
      <c r="U448" s="5"/>
      <c r="V448" s="6"/>
      <c r="W448" s="6"/>
      <c r="X448" s="6"/>
      <c r="Y448" s="6"/>
      <c r="Z448" s="6"/>
      <c r="AA448" s="6"/>
      <c r="AB448" s="5"/>
      <c r="AC448" s="262"/>
      <c r="AD448" s="96"/>
    </row>
    <row r="449" hidden="1">
      <c r="A449" s="1"/>
      <c r="B449" s="1"/>
      <c r="C449" s="1"/>
      <c r="D449" s="1"/>
      <c r="E449" s="1"/>
      <c r="F449" s="1"/>
      <c r="G449" s="1"/>
      <c r="H449" s="1"/>
      <c r="I449" s="1"/>
      <c r="J449" s="1"/>
      <c r="K449" s="1"/>
      <c r="L449" s="1"/>
      <c r="M449" s="1"/>
      <c r="N449" s="1"/>
      <c r="O449" s="1"/>
      <c r="P449" s="1"/>
      <c r="Q449" s="1"/>
      <c r="R449" s="1"/>
      <c r="S449" s="1"/>
      <c r="T449" s="1"/>
      <c r="U449" s="5"/>
      <c r="V449" s="6"/>
      <c r="W449" s="6"/>
      <c r="X449" s="6"/>
      <c r="Y449" s="6"/>
      <c r="Z449" s="6"/>
      <c r="AA449" s="6"/>
      <c r="AB449" s="5"/>
      <c r="AC449" s="262"/>
      <c r="AD449" s="96"/>
    </row>
  </sheetData>
  <mergeCells count="196">
    <mergeCell ref="M55:M58"/>
    <mergeCell ref="N55:N58"/>
    <mergeCell ref="O55:O58"/>
    <mergeCell ref="P55:P58"/>
    <mergeCell ref="Q55:Q58"/>
    <mergeCell ref="R55:R58"/>
    <mergeCell ref="S55:S58"/>
    <mergeCell ref="T55:T58"/>
    <mergeCell ref="K62:M62"/>
    <mergeCell ref="R62:T62"/>
    <mergeCell ref="C56:C58"/>
    <mergeCell ref="C60:T60"/>
    <mergeCell ref="C61:C62"/>
    <mergeCell ref="D61:D62"/>
    <mergeCell ref="E61:E62"/>
    <mergeCell ref="F61:F62"/>
    <mergeCell ref="G61:G62"/>
    <mergeCell ref="F8:J16"/>
    <mergeCell ref="F18:K18"/>
    <mergeCell ref="C1:T1"/>
    <mergeCell ref="E3:T3"/>
    <mergeCell ref="C5:E7"/>
    <mergeCell ref="F5:H7"/>
    <mergeCell ref="I5:J5"/>
    <mergeCell ref="I6:J7"/>
    <mergeCell ref="L14:T14"/>
    <mergeCell ref="C32:T32"/>
    <mergeCell ref="D8:E8"/>
    <mergeCell ref="D9:E9"/>
    <mergeCell ref="D17:E17"/>
    <mergeCell ref="D18:E18"/>
    <mergeCell ref="D19:E19"/>
    <mergeCell ref="D55:D58"/>
    <mergeCell ref="E55:E58"/>
    <mergeCell ref="F55:F58"/>
    <mergeCell ref="G55:G58"/>
    <mergeCell ref="H55:H58"/>
    <mergeCell ref="I55:I58"/>
    <mergeCell ref="J55:J58"/>
    <mergeCell ref="K55:K58"/>
    <mergeCell ref="L55:L58"/>
    <mergeCell ref="J61:J62"/>
    <mergeCell ref="K61:M61"/>
    <mergeCell ref="K63:M63"/>
    <mergeCell ref="K64:M64"/>
    <mergeCell ref="K65:M65"/>
    <mergeCell ref="K66:M66"/>
    <mergeCell ref="K67:M67"/>
    <mergeCell ref="P61:P62"/>
    <mergeCell ref="Q61:Q62"/>
    <mergeCell ref="P63:P65"/>
    <mergeCell ref="Q63:Q65"/>
    <mergeCell ref="R65:T65"/>
    <mergeCell ref="P66:P67"/>
    <mergeCell ref="Q66:Q67"/>
    <mergeCell ref="H61:H62"/>
    <mergeCell ref="I61:I62"/>
    <mergeCell ref="C69:C70"/>
    <mergeCell ref="D69:D70"/>
    <mergeCell ref="E69:E70"/>
    <mergeCell ref="F69:F70"/>
    <mergeCell ref="G69:G70"/>
    <mergeCell ref="H86:H87"/>
    <mergeCell ref="I86:I87"/>
    <mergeCell ref="J86:J87"/>
    <mergeCell ref="K86:M86"/>
    <mergeCell ref="K87:M87"/>
    <mergeCell ref="P86:P87"/>
    <mergeCell ref="Q86:Q87"/>
    <mergeCell ref="P82:P83"/>
    <mergeCell ref="Q82:Q83"/>
    <mergeCell ref="K83:M83"/>
    <mergeCell ref="C85:T85"/>
    <mergeCell ref="C86:C87"/>
    <mergeCell ref="D86:D87"/>
    <mergeCell ref="E86:E87"/>
    <mergeCell ref="R87:T87"/>
    <mergeCell ref="P88:P90"/>
    <mergeCell ref="Q88:Q90"/>
    <mergeCell ref="R90:T90"/>
    <mergeCell ref="P91:P92"/>
    <mergeCell ref="Q91:Q92"/>
    <mergeCell ref="F86:F87"/>
    <mergeCell ref="G86:G87"/>
    <mergeCell ref="K88:M88"/>
    <mergeCell ref="K89:M89"/>
    <mergeCell ref="K90:M90"/>
    <mergeCell ref="K91:M91"/>
    <mergeCell ref="K92:M92"/>
    <mergeCell ref="C94:C95"/>
    <mergeCell ref="D94:D95"/>
    <mergeCell ref="E94:E95"/>
    <mergeCell ref="F94:F95"/>
    <mergeCell ref="G94:G95"/>
    <mergeCell ref="H94:H95"/>
    <mergeCell ref="I94:I95"/>
    <mergeCell ref="J94:J95"/>
    <mergeCell ref="K94:M94"/>
    <mergeCell ref="P94:P95"/>
    <mergeCell ref="Q94:Q95"/>
    <mergeCell ref="K95:M95"/>
    <mergeCell ref="R95:T95"/>
    <mergeCell ref="K96:M96"/>
    <mergeCell ref="H102:H103"/>
    <mergeCell ref="I102:I103"/>
    <mergeCell ref="K99:M99"/>
    <mergeCell ref="K100:M100"/>
    <mergeCell ref="C102:C103"/>
    <mergeCell ref="D102:D103"/>
    <mergeCell ref="E102:E103"/>
    <mergeCell ref="F102:F103"/>
    <mergeCell ref="G102:G103"/>
    <mergeCell ref="K104:M104"/>
    <mergeCell ref="K103:M103"/>
    <mergeCell ref="K105:M105"/>
    <mergeCell ref="K107:M107"/>
    <mergeCell ref="J102:J103"/>
    <mergeCell ref="K102:M102"/>
    <mergeCell ref="P102:P103"/>
    <mergeCell ref="Q102:Q103"/>
    <mergeCell ref="R103:T103"/>
    <mergeCell ref="P104:P106"/>
    <mergeCell ref="Q104:Q106"/>
    <mergeCell ref="K106:M106"/>
    <mergeCell ref="R106:T106"/>
    <mergeCell ref="P107:P108"/>
    <mergeCell ref="Q107:Q108"/>
    <mergeCell ref="K108:M108"/>
    <mergeCell ref="C110:N110"/>
    <mergeCell ref="P110:T110"/>
    <mergeCell ref="C111:M111"/>
    <mergeCell ref="C112:M112"/>
    <mergeCell ref="C113:M113"/>
    <mergeCell ref="C114:M114"/>
    <mergeCell ref="C115:M115"/>
    <mergeCell ref="C116:M116"/>
    <mergeCell ref="C117:M117"/>
    <mergeCell ref="C121:M121"/>
    <mergeCell ref="C122:M122"/>
    <mergeCell ref="R122:S122"/>
    <mergeCell ref="C123:M123"/>
    <mergeCell ref="R123:S123"/>
    <mergeCell ref="C124:M124"/>
    <mergeCell ref="R124:S124"/>
    <mergeCell ref="C118:M118"/>
    <mergeCell ref="P118:T118"/>
    <mergeCell ref="C119:M119"/>
    <mergeCell ref="R119:S119"/>
    <mergeCell ref="C120:M120"/>
    <mergeCell ref="R120:S120"/>
    <mergeCell ref="R121:S121"/>
    <mergeCell ref="H69:H70"/>
    <mergeCell ref="I69:I70"/>
    <mergeCell ref="J69:J70"/>
    <mergeCell ref="K69:M69"/>
    <mergeCell ref="P69:P70"/>
    <mergeCell ref="Q69:Q70"/>
    <mergeCell ref="R70:T70"/>
    <mergeCell ref="K70:M70"/>
    <mergeCell ref="K71:M71"/>
    <mergeCell ref="Q71:Q73"/>
    <mergeCell ref="K72:M72"/>
    <mergeCell ref="K73:M73"/>
    <mergeCell ref="R73:T73"/>
    <mergeCell ref="K74:M74"/>
    <mergeCell ref="I77:I78"/>
    <mergeCell ref="J77:J78"/>
    <mergeCell ref="K77:M77"/>
    <mergeCell ref="K78:M78"/>
    <mergeCell ref="R78:T78"/>
    <mergeCell ref="K79:M79"/>
    <mergeCell ref="K80:M80"/>
    <mergeCell ref="K81:M81"/>
    <mergeCell ref="R81:T81"/>
    <mergeCell ref="K82:M82"/>
    <mergeCell ref="K75:M75"/>
    <mergeCell ref="C77:C78"/>
    <mergeCell ref="D77:D78"/>
    <mergeCell ref="E77:E78"/>
    <mergeCell ref="F77:F78"/>
    <mergeCell ref="G77:G78"/>
    <mergeCell ref="H77:H78"/>
    <mergeCell ref="P71:P73"/>
    <mergeCell ref="P74:P75"/>
    <mergeCell ref="Q74:Q75"/>
    <mergeCell ref="P77:P78"/>
    <mergeCell ref="Q77:Q78"/>
    <mergeCell ref="P79:P81"/>
    <mergeCell ref="Q79:Q81"/>
    <mergeCell ref="P96:P98"/>
    <mergeCell ref="Q96:Q98"/>
    <mergeCell ref="K97:M97"/>
    <mergeCell ref="K98:M98"/>
    <mergeCell ref="R98:T98"/>
    <mergeCell ref="P99:P100"/>
    <mergeCell ref="Q99:Q100"/>
  </mergeCells>
  <conditionalFormatting sqref="N111:N124">
    <cfRule type="containsText" dxfId="3" priority="1" operator="containsText" text="yes">
      <formula>NOT(ISERROR(SEARCH(("yes"),(N111))))</formula>
    </cfRule>
  </conditionalFormatting>
  <conditionalFormatting sqref="N111:N124">
    <cfRule type="containsText" dxfId="4" priority="2" operator="containsText" text="no">
      <formula>NOT(ISERROR(SEARCH(("no"),(N111))))</formula>
    </cfRule>
  </conditionalFormatting>
  <conditionalFormatting sqref="N111:N124">
    <cfRule type="containsText" dxfId="5" priority="3" operator="containsText" text="meh">
      <formula>NOT(ISERROR(SEARCH(("meh"),(N111))))</formula>
    </cfRule>
  </conditionalFormatting>
  <conditionalFormatting sqref="S6:T8">
    <cfRule type="cellIs" dxfId="4" priority="4" operator="lessThan">
      <formula>0</formula>
    </cfRule>
  </conditionalFormatting>
  <conditionalFormatting sqref="K9 K11 R11:T11">
    <cfRule type="expression" dxfId="3" priority="5">
      <formula>K9&gt;$I$6</formula>
    </cfRule>
  </conditionalFormatting>
  <conditionalFormatting sqref="L16:T16">
    <cfRule type="colorScale" priority="6">
      <colorScale>
        <cfvo type="formula" val="-0.05"/>
        <cfvo type="formula" val="0.1"/>
        <cfvo type="formula" val="0.25"/>
        <color rgb="FFE67C73"/>
        <color rgb="FFFFFFFF"/>
        <color rgb="FF57BB8A"/>
      </colorScale>
    </cfRule>
  </conditionalFormatting>
  <conditionalFormatting sqref="S6:S8">
    <cfRule type="colorScale" priority="7">
      <colorScale>
        <cfvo type="formula" val="0.12"/>
        <cfvo type="formula" val="0.35"/>
        <color rgb="FFFFFFFF"/>
        <color rgb="FF57BB8A"/>
      </colorScale>
    </cfRule>
  </conditionalFormatting>
  <conditionalFormatting sqref="T6:T8">
    <cfRule type="colorScale" priority="8">
      <colorScale>
        <cfvo type="formula" val="0.1"/>
        <cfvo type="formula" val="1"/>
        <color rgb="FFFFFFFF"/>
        <color rgb="FF57BB8A"/>
      </colorScale>
    </cfRule>
  </conditionalFormatting>
  <conditionalFormatting sqref="P112:T116">
    <cfRule type="expression" dxfId="4" priority="9">
      <formula>$Q112:$Q116="Downgrade"</formula>
    </cfRule>
  </conditionalFormatting>
  <conditionalFormatting sqref="P112:T116">
    <cfRule type="expression" dxfId="3" priority="10">
      <formula>$Q112:$Q116="Upgrade"</formula>
    </cfRule>
  </conditionalFormatting>
  <conditionalFormatting sqref="T119">
    <cfRule type="cellIs" dxfId="3" priority="11" operator="greaterThan">
      <formula>0.1</formula>
    </cfRule>
  </conditionalFormatting>
  <conditionalFormatting sqref="T119">
    <cfRule type="cellIs" dxfId="6" priority="12" operator="lessThan">
      <formula>0.02</formula>
    </cfRule>
  </conditionalFormatting>
  <conditionalFormatting sqref="O52:Q53 T120">
    <cfRule type="cellIs" dxfId="6" priority="13" operator="lessThan">
      <formula>0</formula>
    </cfRule>
  </conditionalFormatting>
  <conditionalFormatting sqref="T123">
    <cfRule type="cellIs" dxfId="6" priority="14" operator="lessThan">
      <formula>0.007</formula>
    </cfRule>
  </conditionalFormatting>
  <conditionalFormatting sqref="T120">
    <cfRule type="cellIs" dxfId="7" priority="15" operator="greaterThan">
      <formula>0</formula>
    </cfRule>
  </conditionalFormatting>
  <conditionalFormatting sqref="T124">
    <cfRule type="cellIs" dxfId="7" priority="16" operator="greaterThan">
      <formula>0</formula>
    </cfRule>
  </conditionalFormatting>
  <conditionalFormatting sqref="T124">
    <cfRule type="cellIs" dxfId="6" priority="17" operator="lessThan">
      <formula>0</formula>
    </cfRule>
  </conditionalFormatting>
  <conditionalFormatting sqref="Q119:Q124">
    <cfRule type="cellIs" dxfId="6" priority="18" operator="lessThan">
      <formula>0</formula>
    </cfRule>
  </conditionalFormatting>
  <conditionalFormatting sqref="C3">
    <cfRule type="containsText" dxfId="4" priority="19" operator="containsText" text="Load">
      <formula>NOT(ISERROR(SEARCH(("Load"),(C3))))</formula>
    </cfRule>
  </conditionalFormatting>
  <conditionalFormatting sqref="C3">
    <cfRule type="containsText" dxfId="3" priority="20" operator="containsText" text="Static">
      <formula>NOT(ISERROR(SEARCH(("Static"),(C3))))</formula>
    </cfRule>
  </conditionalFormatting>
  <conditionalFormatting sqref="D34:L53 O34:P53 T34:T53">
    <cfRule type="cellIs" dxfId="6" priority="21" operator="lessThan">
      <formula>0</formula>
    </cfRule>
  </conditionalFormatting>
  <conditionalFormatting sqref="M34:M53 Q34:Q53">
    <cfRule type="cellIs" dxfId="7" priority="22" operator="lessThan">
      <formula>0</formula>
    </cfRule>
  </conditionalFormatting>
  <conditionalFormatting sqref="C3">
    <cfRule type="containsText" dxfId="8" priority="23" operator="containsText" text="Update">
      <formula>NOT(ISERROR(SEARCH(("Update"),(C3))))</formula>
    </cfRule>
  </conditionalFormatting>
  <conditionalFormatting sqref="E13">
    <cfRule type="colorScale" priority="24">
      <colorScale>
        <cfvo type="formula" val="2"/>
        <cfvo type="formula" val="7"/>
        <color rgb="FFD9EAD3"/>
        <color rgb="FFF4CCCC"/>
      </colorScale>
    </cfRule>
  </conditionalFormatting>
  <conditionalFormatting sqref="E15">
    <cfRule type="colorScale" priority="25">
      <colorScale>
        <cfvo type="formula" val="0.1"/>
        <cfvo type="formula" val="0.3"/>
        <color rgb="FFFFFFFF"/>
        <color rgb="FFB6D7A8"/>
      </colorScale>
    </cfRule>
  </conditionalFormatting>
  <conditionalFormatting sqref="E12">
    <cfRule type="colorScale" priority="26">
      <colorScale>
        <cfvo type="formula" val="0.05"/>
        <cfvo type="formula" val="0.15"/>
        <color rgb="FFFFFFFF"/>
        <color rgb="FFB6D7A8"/>
      </colorScale>
    </cfRule>
  </conditionalFormatting>
  <conditionalFormatting sqref="E10:E11">
    <cfRule type="cellIs" dxfId="4" priority="27" operator="lessThan">
      <formula>0</formula>
    </cfRule>
  </conditionalFormatting>
  <conditionalFormatting sqref="E11">
    <cfRule type="colorScale" priority="28">
      <colorScale>
        <cfvo type="formula" val="6"/>
        <cfvo type="formula" val="12"/>
        <color rgb="FFB6D7A8"/>
        <color rgb="FFFFFFFF"/>
      </colorScale>
    </cfRule>
  </conditionalFormatting>
  <conditionalFormatting sqref="E10">
    <cfRule type="colorScale" priority="29">
      <colorScale>
        <cfvo type="formula" val="6"/>
        <cfvo type="formula" val="14"/>
        <color rgb="FFB6D7A8"/>
        <color rgb="FFFFFFFF"/>
      </colorScale>
    </cfRule>
  </conditionalFormatting>
  <conditionalFormatting sqref="E14">
    <cfRule type="colorScale" priority="30">
      <colorScale>
        <cfvo type="formula" val="0.2"/>
        <cfvo type="formula" val="0.5"/>
        <color rgb="FFFFFFFF"/>
        <color rgb="FFB6D7A8"/>
      </colorScale>
    </cfRule>
  </conditionalFormatting>
  <dataValidations>
    <dataValidation type="list" allowBlank="1" showErrorMessage="1" sqref="E16 B33">
      <formula1>"USD,CNY,GBP,EUR,KRW,JPY,CAD,BRL,KZT,DKK"</formula1>
    </dataValidation>
    <dataValidation type="list" allowBlank="1" showErrorMessage="1" sqref="N111:N124">
      <formula1>"Yes,No,Meh"</formula1>
    </dataValidation>
    <dataValidation type="list" allowBlank="1" showErrorMessage="1" sqref="C3">
      <formula1>"Static,Load,Update"</formula1>
    </dataValidation>
  </dataValidations>
  <hyperlinks>
    <hyperlink r:id="rId2" ref="E3"/>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hidden="1" min="2" max="2" width="12.63"/>
    <col customWidth="1" min="3" max="20" width="10.0"/>
    <col customWidth="1" min="21" max="21" width="4.88"/>
    <col customWidth="1" min="22" max="28" width="6.88"/>
    <col customWidth="1" hidden="1" min="29" max="30" width="7.75"/>
  </cols>
  <sheetData>
    <row r="1" ht="31.5" customHeight="1">
      <c r="A1" s="1"/>
      <c r="B1" s="1"/>
      <c r="C1" s="2" t="s">
        <v>0</v>
      </c>
      <c r="D1" s="3"/>
      <c r="E1" s="3"/>
      <c r="F1" s="3"/>
      <c r="G1" s="3"/>
      <c r="H1" s="3"/>
      <c r="I1" s="3"/>
      <c r="J1" s="3"/>
      <c r="K1" s="3"/>
      <c r="L1" s="3"/>
      <c r="M1" s="3"/>
      <c r="N1" s="3"/>
      <c r="O1" s="3"/>
      <c r="P1" s="3"/>
      <c r="Q1" s="3"/>
      <c r="R1" s="3"/>
      <c r="S1" s="3"/>
      <c r="T1" s="4"/>
      <c r="U1" s="5"/>
      <c r="V1" s="6"/>
      <c r="W1" s="6"/>
      <c r="X1" s="5"/>
      <c r="Y1" s="5"/>
      <c r="Z1" s="5"/>
      <c r="AA1" s="5"/>
      <c r="AB1" s="5"/>
      <c r="AC1" s="5"/>
      <c r="AD1" s="5"/>
    </row>
    <row r="2">
      <c r="A2" s="1"/>
      <c r="B2" s="1"/>
      <c r="C2" s="7"/>
      <c r="D2" s="1"/>
      <c r="E2" s="7"/>
      <c r="F2" s="17"/>
      <c r="G2" s="17"/>
      <c r="H2" s="17"/>
      <c r="I2" s="17"/>
      <c r="J2" s="1"/>
      <c r="K2" s="10"/>
      <c r="L2" s="10"/>
      <c r="M2" s="10"/>
      <c r="N2" s="11"/>
      <c r="O2" s="12"/>
      <c r="P2" s="13"/>
      <c r="Q2" s="1"/>
      <c r="R2" s="14"/>
      <c r="S2" s="1"/>
      <c r="T2" s="1"/>
      <c r="U2" s="5"/>
      <c r="V2" s="6"/>
      <c r="W2" s="6"/>
      <c r="X2" s="5"/>
      <c r="Y2" s="5"/>
      <c r="Z2" s="5"/>
      <c r="AA2" s="5"/>
      <c r="AB2" s="5"/>
      <c r="AC2" s="5"/>
      <c r="AD2" s="5"/>
    </row>
    <row r="3">
      <c r="A3" s="1"/>
      <c r="B3" s="1"/>
      <c r="C3" s="15" t="s">
        <v>2</v>
      </c>
      <c r="D3" s="1"/>
      <c r="E3" s="16" t="s">
        <v>117</v>
      </c>
      <c r="U3" s="5"/>
      <c r="V3" s="6"/>
      <c r="W3" s="6"/>
      <c r="X3" s="5"/>
      <c r="Y3" s="5"/>
      <c r="Z3" s="5"/>
      <c r="AA3" s="5"/>
      <c r="AB3" s="5"/>
      <c r="AC3" s="5"/>
      <c r="AD3" s="5"/>
    </row>
    <row r="4">
      <c r="A4" s="1"/>
      <c r="B4" s="1"/>
      <c r="C4" s="6" t="str">
        <f>C5</f>
        <v>META</v>
      </c>
      <c r="D4" s="1"/>
      <c r="E4" s="17"/>
      <c r="F4" s="17"/>
      <c r="G4" s="17"/>
      <c r="H4" s="17"/>
      <c r="I4" s="17"/>
      <c r="J4" s="1"/>
      <c r="K4" s="10"/>
      <c r="L4" s="10"/>
      <c r="M4" s="10"/>
      <c r="N4" s="11"/>
      <c r="O4" s="12"/>
      <c r="P4" s="13"/>
      <c r="Q4" s="1"/>
      <c r="R4" s="14"/>
      <c r="S4" s="1"/>
      <c r="T4" s="1"/>
      <c r="U4" s="5"/>
      <c r="V4" s="6"/>
      <c r="W4" s="6"/>
      <c r="X4" s="5"/>
      <c r="Y4" s="5"/>
      <c r="Z4" s="5"/>
      <c r="AA4" s="5"/>
      <c r="AB4" s="5"/>
      <c r="AC4" s="5"/>
      <c r="AD4" s="5"/>
    </row>
    <row r="5">
      <c r="A5" s="1"/>
      <c r="B5" s="1"/>
      <c r="C5" s="18" t="s">
        <v>118</v>
      </c>
      <c r="D5" s="19"/>
      <c r="E5" s="20"/>
      <c r="F5" s="21" t="str">
        <f>IFERROR(__xludf.DUMMYFUNCTION("IF($C$3=""Load"",iferror(GOOGLEFINANCE($C$5,""name"")),F5)"),"Meta Platforms Inc")</f>
        <v>Meta Platforms Inc</v>
      </c>
      <c r="G5" s="19"/>
      <c r="H5" s="20"/>
      <c r="I5" s="22" t="s">
        <v>6</v>
      </c>
      <c r="J5" s="20"/>
      <c r="N5" s="11"/>
      <c r="Q5" s="23"/>
      <c r="R5" s="24" t="s">
        <v>7</v>
      </c>
      <c r="S5" s="24" t="s">
        <v>8</v>
      </c>
      <c r="T5" s="25" t="s">
        <v>9</v>
      </c>
      <c r="U5" s="26"/>
      <c r="V5" s="5"/>
      <c r="W5" s="5"/>
      <c r="X5" s="5"/>
      <c r="Y5" s="5"/>
      <c r="Z5" s="5"/>
      <c r="AA5" s="5"/>
      <c r="AB5" s="5"/>
      <c r="AC5" s="5"/>
      <c r="AD5" s="5"/>
    </row>
    <row r="6">
      <c r="A6" s="1"/>
      <c r="B6" s="1"/>
      <c r="C6" s="28"/>
      <c r="E6" s="29"/>
      <c r="F6" s="28"/>
      <c r="H6" s="29"/>
      <c r="I6" s="30">
        <f>IFERROR(__xludf.DUMMYFUNCTION("IF($C$3=""Static"", I6, iferror(GOOGLEFINANCE($C$5)))"),631.48)</f>
        <v>631.48</v>
      </c>
      <c r="J6" s="29"/>
      <c r="N6" s="11"/>
      <c r="Q6" s="31" t="s">
        <v>11</v>
      </c>
      <c r="R6" s="32">
        <f>if(S6="No Forecast","",Q63)</f>
        <v>1490.075108</v>
      </c>
      <c r="S6" s="33">
        <f>if(countif(G63:H67,"=0")=10,"No Forecast", iferror(Q61,"No Forecast"))</f>
        <v>0.3408016508</v>
      </c>
      <c r="T6" s="34">
        <f t="shared" ref="T6:T8" si="1">if(S6="No Forecast","",R6/I$6-1)</f>
        <v>1.359655267</v>
      </c>
      <c r="U6" s="35"/>
      <c r="V6" s="5"/>
      <c r="W6" s="5"/>
      <c r="X6" s="5"/>
      <c r="Y6" s="5"/>
      <c r="Z6" s="5"/>
      <c r="AA6" s="5"/>
      <c r="AB6" s="5"/>
      <c r="AC6" s="5"/>
      <c r="AD6" s="5"/>
    </row>
    <row r="7">
      <c r="A7" s="1"/>
      <c r="B7" s="1"/>
      <c r="C7" s="37"/>
      <c r="D7" s="38"/>
      <c r="E7" s="39"/>
      <c r="F7" s="37"/>
      <c r="G7" s="38"/>
      <c r="H7" s="39"/>
      <c r="I7" s="38"/>
      <c r="J7" s="39"/>
      <c r="N7" s="11"/>
      <c r="P7" s="40"/>
      <c r="Q7" s="41" t="s">
        <v>12</v>
      </c>
      <c r="R7" s="42" t="str">
        <f>if(S7="No Forecast","",Q71)</f>
        <v/>
      </c>
      <c r="S7" s="43" t="str">
        <f>if(countif(G71:H75,"=0")=10,"No Forecast",iferror(Q69,"No Forecast"))</f>
        <v>No Forecast</v>
      </c>
      <c r="T7" s="44" t="str">
        <f t="shared" si="1"/>
        <v/>
      </c>
      <c r="U7" s="35"/>
      <c r="V7" s="5"/>
      <c r="W7" s="5"/>
      <c r="X7" s="5"/>
      <c r="Y7" s="5"/>
      <c r="Z7" s="5"/>
      <c r="AA7" s="5"/>
      <c r="AB7" s="5"/>
      <c r="AC7" s="5"/>
      <c r="AD7" s="5"/>
    </row>
    <row r="8">
      <c r="A8" s="1"/>
      <c r="B8" s="1"/>
      <c r="C8" s="45" t="s">
        <v>13</v>
      </c>
      <c r="D8" s="46">
        <f>IF($C$3="Static",D8,today())</f>
        <v>46213</v>
      </c>
      <c r="E8" s="47"/>
      <c r="F8" s="48"/>
      <c r="J8" s="47"/>
      <c r="K8" s="49" t="s">
        <v>14</v>
      </c>
      <c r="L8" s="50"/>
      <c r="M8" s="10"/>
      <c r="N8" s="11"/>
      <c r="P8" s="23"/>
      <c r="Q8" s="41" t="s">
        <v>15</v>
      </c>
      <c r="R8" s="51" t="str">
        <f>if(S8="No Forecast","",Q79)</f>
        <v/>
      </c>
      <c r="S8" s="52" t="str">
        <f>if(countif(G79:H83,"=0")=10,"No Forecast",iferror(Q77,"No Forecast"))</f>
        <v>No Forecast</v>
      </c>
      <c r="T8" s="53" t="str">
        <f t="shared" si="1"/>
        <v/>
      </c>
      <c r="U8" s="35"/>
      <c r="V8" s="5"/>
      <c r="W8" s="5"/>
      <c r="X8" s="5"/>
      <c r="Y8" s="5"/>
      <c r="Z8" s="5"/>
      <c r="AA8" s="5"/>
      <c r="AB8" s="5"/>
      <c r="AC8" s="5"/>
      <c r="AD8" s="5"/>
    </row>
    <row r="9">
      <c r="A9" s="1"/>
      <c r="B9" s="1"/>
      <c r="C9" s="54" t="s">
        <v>16</v>
      </c>
      <c r="D9" s="55">
        <f>IFERROR(__xludf.DUMMYFUNCTION("IF($C$3=""Static"", D9, iferror(GOOGLEFINANCE($C$5,""marketcap"")))"),1.636079379597E12)</f>
        <v>1636079379597</v>
      </c>
      <c r="E9" s="47"/>
      <c r="J9" s="47"/>
      <c r="K9" s="56" t="str">
        <f>IFERROR(__xludf.DUMMYFUNCTION("IF($C$3=""Load"",iferror(GOOGLEFINANCE($C$5,"""")),F5)"),"Meta Platforms Inc")</f>
        <v>Meta Platforms Inc</v>
      </c>
      <c r="L9" s="57"/>
      <c r="M9" s="58"/>
      <c r="P9" s="50"/>
      <c r="Q9" s="59"/>
      <c r="R9" s="1"/>
      <c r="S9" s="1"/>
      <c r="T9" s="57"/>
      <c r="U9" s="60"/>
      <c r="V9" s="5"/>
      <c r="W9" s="5"/>
      <c r="X9" s="60"/>
      <c r="Y9" s="5"/>
      <c r="Z9" s="5"/>
      <c r="AA9" s="5"/>
      <c r="AB9" s="5"/>
      <c r="AC9" s="5"/>
      <c r="AD9" s="5"/>
    </row>
    <row r="10">
      <c r="A10" s="1"/>
      <c r="B10" s="1"/>
      <c r="C10" s="45" t="s">
        <v>17</v>
      </c>
      <c r="E10" s="61">
        <f>IFERROR(D9/X53,"")</f>
        <v>27.06142081</v>
      </c>
      <c r="J10" s="47"/>
      <c r="K10" s="49" t="s">
        <v>18</v>
      </c>
      <c r="L10" s="62"/>
      <c r="M10" s="63"/>
      <c r="N10" s="10"/>
      <c r="P10" s="64"/>
      <c r="Q10" s="65" t="s">
        <v>19</v>
      </c>
      <c r="R10" s="66">
        <v>0.15</v>
      </c>
      <c r="S10" s="67">
        <v>0.2</v>
      </c>
      <c r="T10" s="68">
        <v>0.3</v>
      </c>
      <c r="U10" s="35"/>
      <c r="V10" s="5"/>
      <c r="W10" s="5"/>
      <c r="X10" s="60"/>
      <c r="Y10" s="60"/>
      <c r="Z10" s="60"/>
      <c r="AA10" s="60"/>
      <c r="AB10" s="5"/>
      <c r="AC10" s="5"/>
      <c r="AD10" s="5"/>
    </row>
    <row r="11">
      <c r="A11" s="1"/>
      <c r="B11" s="1"/>
      <c r="C11" s="45" t="s">
        <v>20</v>
      </c>
      <c r="E11" s="61">
        <f>iferror(Q53/F53,"")</f>
        <v>20.5594756</v>
      </c>
      <c r="J11" s="47"/>
      <c r="K11" s="56" t="str">
        <f>IFERROR(__xludf.DUMMYFUNCTION("IF($C$3=""Load"",iferror(GOOGLEFINANCE($C$5,"""")),F5)"),"Meta Platforms Inc")</f>
        <v>Meta Platforms Inc</v>
      </c>
      <c r="L11" s="43"/>
      <c r="M11" s="63"/>
      <c r="N11" s="10"/>
      <c r="P11" s="65"/>
      <c r="Q11" s="69" t="s">
        <v>21</v>
      </c>
      <c r="R11" s="51">
        <f t="shared" ref="R11:T11" si="2">$R6*(1-R10)</f>
        <v>1266.563842</v>
      </c>
      <c r="S11" s="70">
        <f t="shared" si="2"/>
        <v>1192.060086</v>
      </c>
      <c r="T11" s="71">
        <f t="shared" si="2"/>
        <v>1043.052576</v>
      </c>
      <c r="U11" s="5"/>
      <c r="V11" s="5"/>
      <c r="W11" s="5"/>
      <c r="X11" s="60"/>
      <c r="Y11" s="60"/>
      <c r="Z11" s="60"/>
      <c r="AA11" s="60"/>
      <c r="AB11" s="5"/>
      <c r="AC11" s="5"/>
      <c r="AD11" s="5"/>
    </row>
    <row r="12">
      <c r="A12" s="1"/>
      <c r="B12" s="1"/>
      <c r="C12" s="45" t="s">
        <v>22</v>
      </c>
      <c r="E12" s="72">
        <f>iferror(K53/P53,"")</f>
        <v>0.09919193582</v>
      </c>
      <c r="J12" s="47"/>
      <c r="L12" s="43"/>
      <c r="M12" s="63"/>
      <c r="N12" s="10"/>
      <c r="U12" s="5"/>
      <c r="V12" s="5"/>
      <c r="W12" s="5"/>
      <c r="X12" s="60"/>
      <c r="Y12" s="60"/>
      <c r="Z12" s="60"/>
      <c r="AA12" s="60"/>
      <c r="AB12" s="5"/>
      <c r="AC12" s="5"/>
      <c r="AD12" s="5"/>
    </row>
    <row r="13">
      <c r="A13" s="1"/>
      <c r="B13" s="1"/>
      <c r="C13" s="45" t="s">
        <v>23</v>
      </c>
      <c r="E13" s="61">
        <f>N53</f>
        <v>0.5766847591</v>
      </c>
      <c r="J13" s="47"/>
      <c r="L13" s="43"/>
      <c r="M13" s="63"/>
      <c r="N13" s="10"/>
      <c r="Q13" s="1"/>
      <c r="U13" s="5"/>
      <c r="V13" s="5"/>
      <c r="W13" s="5"/>
      <c r="X13" s="73"/>
      <c r="Y13" s="73"/>
      <c r="Z13" s="73"/>
      <c r="AA13" s="73"/>
      <c r="AB13" s="5"/>
      <c r="AC13" s="5"/>
      <c r="AD13" s="5"/>
    </row>
    <row r="14">
      <c r="A14" s="1"/>
      <c r="B14" s="1"/>
      <c r="C14" s="45" t="s">
        <v>24</v>
      </c>
      <c r="E14" s="72">
        <f>G53</f>
        <v>0.4143785516</v>
      </c>
      <c r="J14" s="47"/>
      <c r="L14" s="74" t="s">
        <v>25</v>
      </c>
      <c r="M14" s="75"/>
      <c r="N14" s="75"/>
      <c r="O14" s="75"/>
      <c r="P14" s="75"/>
      <c r="Q14" s="75"/>
      <c r="R14" s="75"/>
      <c r="S14" s="75"/>
      <c r="T14" s="76"/>
      <c r="U14" s="5"/>
      <c r="V14" s="5"/>
      <c r="W14" s="5"/>
      <c r="X14" s="5"/>
      <c r="Y14" s="5"/>
      <c r="Z14" s="5"/>
      <c r="AA14" s="5"/>
      <c r="AB14" s="5"/>
      <c r="AC14" s="5"/>
      <c r="AD14" s="5"/>
    </row>
    <row r="15">
      <c r="A15" s="1"/>
      <c r="B15" s="1"/>
      <c r="C15" s="45" t="s">
        <v>26</v>
      </c>
      <c r="E15" s="72">
        <f>IF($C$3="Load",if(DVH($C$5,C15)="Data not available",DVH($C$5,C15,2024),DVH($C$5,C15)),E15)</f>
        <v>0.1795</v>
      </c>
      <c r="J15" s="47"/>
      <c r="L15" s="77">
        <f t="shared" ref="L15:O15" si="3">M15-(N15-M15)</f>
        <v>379</v>
      </c>
      <c r="M15" s="78">
        <f t="shared" si="3"/>
        <v>442</v>
      </c>
      <c r="N15" s="78">
        <f t="shared" si="3"/>
        <v>505</v>
      </c>
      <c r="O15" s="78">
        <f t="shared" si="3"/>
        <v>568</v>
      </c>
      <c r="P15" s="78">
        <f>round(I6,0)</f>
        <v>631</v>
      </c>
      <c r="Q15" s="78">
        <f>P15+round($I6/10,0)</f>
        <v>694</v>
      </c>
      <c r="R15" s="78">
        <f t="shared" ref="R15:T15" si="4">Q15+Q15-P15</f>
        <v>757</v>
      </c>
      <c r="S15" s="78">
        <f t="shared" si="4"/>
        <v>820</v>
      </c>
      <c r="T15" s="80">
        <f t="shared" si="4"/>
        <v>883</v>
      </c>
      <c r="U15" s="81"/>
      <c r="V15" s="82"/>
      <c r="W15" s="82"/>
      <c r="X15" s="82"/>
      <c r="Y15" s="82"/>
      <c r="Z15" s="82"/>
      <c r="AA15" s="82"/>
      <c r="AB15" s="5"/>
      <c r="AC15" s="5"/>
      <c r="AD15" s="5"/>
    </row>
    <row r="16">
      <c r="A16" s="1"/>
      <c r="B16" s="1"/>
      <c r="C16" s="83" t="s">
        <v>27</v>
      </c>
      <c r="D16" s="84"/>
      <c r="E16" s="85" t="s">
        <v>28</v>
      </c>
      <c r="F16" s="86"/>
      <c r="G16" s="86"/>
      <c r="H16" s="86"/>
      <c r="I16" s="86"/>
      <c r="J16" s="87"/>
      <c r="L16" s="88">
        <f t="shared" ref="L16:T16" si="5">iferror(IRR({-1*$P$53*(L15/$I$6),$I63,$I64,$I65,$I66,$I67+$N65}),"-")</f>
        <v>0.5211114241</v>
      </c>
      <c r="M16" s="89">
        <f t="shared" si="5"/>
        <v>0.463086868</v>
      </c>
      <c r="N16" s="89">
        <f t="shared" si="5"/>
        <v>0.4155281312</v>
      </c>
      <c r="O16" s="89">
        <f t="shared" si="5"/>
        <v>0.3754774592</v>
      </c>
      <c r="P16" s="89">
        <f t="shared" si="5"/>
        <v>0.3410459718</v>
      </c>
      <c r="Q16" s="89">
        <f t="shared" si="5"/>
        <v>0.3109601997</v>
      </c>
      <c r="R16" s="89">
        <f t="shared" si="5"/>
        <v>0.2843243265</v>
      </c>
      <c r="S16" s="89">
        <f t="shared" si="5"/>
        <v>0.26048627</v>
      </c>
      <c r="T16" s="91">
        <f t="shared" si="5"/>
        <v>0.2389578228</v>
      </c>
      <c r="U16" s="5"/>
      <c r="V16" s="82"/>
      <c r="W16" s="82"/>
      <c r="X16" s="82"/>
      <c r="Y16" s="82"/>
      <c r="Z16" s="82"/>
      <c r="AA16" s="82"/>
      <c r="AB16" s="5"/>
      <c r="AC16" s="5"/>
      <c r="AD16" s="5"/>
    </row>
    <row r="17">
      <c r="A17" s="1"/>
      <c r="B17" s="1"/>
      <c r="C17" s="1"/>
      <c r="D17" s="1"/>
      <c r="F17" s="1"/>
      <c r="G17" s="1"/>
      <c r="H17" s="1"/>
      <c r="I17" s="1"/>
      <c r="J17" s="1"/>
      <c r="K17" s="57"/>
      <c r="L17" s="57"/>
      <c r="M17" s="10"/>
      <c r="N17" s="1"/>
      <c r="O17" s="63"/>
      <c r="P17" s="63"/>
      <c r="Q17" s="10"/>
      <c r="R17" s="63"/>
      <c r="S17" s="63"/>
      <c r="T17" s="63"/>
      <c r="U17" s="60"/>
      <c r="V17" s="82"/>
      <c r="W17" s="82"/>
      <c r="X17" s="82"/>
      <c r="Y17" s="82"/>
      <c r="Z17" s="82"/>
      <c r="AA17" s="82"/>
      <c r="AB17" s="5"/>
      <c r="AC17" s="5"/>
      <c r="AD17" s="5"/>
    </row>
    <row r="18">
      <c r="A18" s="1"/>
      <c r="B18" s="1"/>
      <c r="C18" s="1"/>
      <c r="D18" s="1"/>
      <c r="F18" s="1"/>
      <c r="L18" s="1"/>
      <c r="M18" s="10"/>
      <c r="N18" s="63"/>
      <c r="O18" s="63"/>
      <c r="P18" s="63"/>
      <c r="Q18" s="63"/>
      <c r="R18" s="63"/>
      <c r="S18" s="63"/>
      <c r="T18" s="63"/>
      <c r="U18" s="60"/>
      <c r="V18" s="82"/>
      <c r="W18" s="82"/>
      <c r="X18" s="5"/>
      <c r="Y18" s="82"/>
      <c r="Z18" s="82"/>
      <c r="AA18" s="82"/>
      <c r="AB18" s="5"/>
      <c r="AC18" s="5"/>
      <c r="AD18" s="5"/>
    </row>
    <row r="19">
      <c r="A19" s="1"/>
      <c r="B19" s="1"/>
      <c r="C19" s="92"/>
      <c r="D19" s="17"/>
      <c r="F19" s="92"/>
      <c r="G19" s="92"/>
      <c r="H19" s="92"/>
      <c r="I19" s="17"/>
      <c r="J19" s="1"/>
      <c r="K19" s="57"/>
      <c r="L19" s="57"/>
      <c r="M19" s="10"/>
      <c r="N19" s="1"/>
      <c r="O19" s="1"/>
      <c r="P19" s="1"/>
      <c r="Q19" s="12"/>
      <c r="R19" s="12"/>
      <c r="S19" s="1"/>
      <c r="T19" s="1"/>
      <c r="U19" s="5"/>
      <c r="V19" s="82"/>
      <c r="W19" s="82"/>
      <c r="X19" s="82"/>
      <c r="Y19" s="82"/>
      <c r="Z19" s="82"/>
      <c r="AA19" s="82"/>
      <c r="AB19" s="5"/>
      <c r="AC19" s="5"/>
      <c r="AD19" s="5"/>
    </row>
    <row r="20">
      <c r="A20" s="1"/>
      <c r="B20" s="1"/>
      <c r="C20" s="17"/>
      <c r="D20" s="17"/>
      <c r="E20" s="17"/>
      <c r="F20" s="93" t="s">
        <v>12</v>
      </c>
      <c r="G20" s="93" t="s">
        <v>11</v>
      </c>
      <c r="H20" s="93" t="s">
        <v>15</v>
      </c>
      <c r="K20" s="57"/>
      <c r="L20" s="57"/>
      <c r="M20" s="10"/>
      <c r="N20" s="1"/>
      <c r="O20" s="1"/>
      <c r="P20" s="1"/>
      <c r="Q20" s="1"/>
      <c r="R20" s="1"/>
      <c r="S20" s="1"/>
      <c r="T20" s="1"/>
      <c r="U20" s="5"/>
      <c r="V20" s="6"/>
      <c r="W20" s="5"/>
      <c r="X20" s="5"/>
      <c r="Y20" s="5"/>
      <c r="Z20" s="6"/>
      <c r="AA20" s="6"/>
      <c r="AB20" s="5"/>
      <c r="AC20" s="5"/>
      <c r="AD20" s="5"/>
    </row>
    <row r="21">
      <c r="A21" s="1"/>
      <c r="B21" s="1"/>
      <c r="C21" s="1"/>
      <c r="D21" s="1"/>
      <c r="E21" s="1"/>
      <c r="F21" s="94" t="str">
        <f>R7</f>
        <v/>
      </c>
      <c r="G21" s="94">
        <f>R6</f>
        <v>1490.075108</v>
      </c>
      <c r="H21" s="94" t="str">
        <f>R8</f>
        <v/>
      </c>
      <c r="K21" s="57"/>
      <c r="L21" s="57"/>
      <c r="M21" s="57"/>
      <c r="N21" s="1"/>
      <c r="U21" s="5"/>
      <c r="V21" s="5"/>
      <c r="W21" s="5"/>
      <c r="X21" s="5"/>
      <c r="Y21" s="5"/>
      <c r="Z21" s="6"/>
      <c r="AA21" s="6"/>
      <c r="AB21" s="5"/>
      <c r="AC21" s="5"/>
      <c r="AD21" s="5"/>
    </row>
    <row r="22">
      <c r="A22" s="1"/>
      <c r="B22" s="1"/>
      <c r="C22" s="1"/>
      <c r="D22" s="1"/>
      <c r="E22" s="1"/>
      <c r="F22" s="94">
        <f>I6</f>
        <v>631.48</v>
      </c>
      <c r="G22" s="94">
        <f>I6</f>
        <v>631.48</v>
      </c>
      <c r="H22" s="94">
        <f>I6</f>
        <v>631.48</v>
      </c>
      <c r="K22" s="57"/>
      <c r="L22" s="57"/>
      <c r="M22" s="57"/>
      <c r="N22" s="1"/>
      <c r="U22" s="5"/>
      <c r="V22" s="5"/>
      <c r="W22" s="95"/>
      <c r="X22" s="95"/>
      <c r="Y22" s="5"/>
      <c r="Z22" s="6"/>
      <c r="AA22" s="6"/>
      <c r="AB22" s="5"/>
      <c r="AC22" s="5"/>
      <c r="AD22" s="5"/>
    </row>
    <row r="23">
      <c r="A23" s="1"/>
      <c r="B23" s="1"/>
      <c r="C23" s="1"/>
      <c r="D23" s="1"/>
      <c r="E23" s="1"/>
      <c r="F23" s="92"/>
      <c r="G23" s="92"/>
      <c r="H23" s="92"/>
      <c r="I23" s="17"/>
      <c r="J23" s="1"/>
      <c r="K23" s="57"/>
      <c r="L23" s="57"/>
      <c r="M23" s="57"/>
      <c r="N23" s="1"/>
      <c r="U23" s="5"/>
      <c r="V23" s="5"/>
      <c r="W23" s="5"/>
      <c r="X23" s="5"/>
      <c r="Y23" s="5"/>
      <c r="Z23" s="6"/>
      <c r="AA23" s="6"/>
      <c r="AB23" s="5"/>
      <c r="AC23" s="5"/>
      <c r="AD23" s="5"/>
    </row>
    <row r="24">
      <c r="A24" s="1"/>
      <c r="B24" s="1"/>
      <c r="C24" s="1"/>
      <c r="D24" s="1"/>
      <c r="E24" s="1"/>
      <c r="F24" s="17"/>
      <c r="G24" s="17"/>
      <c r="H24" s="17"/>
      <c r="I24" s="17"/>
      <c r="J24" s="1"/>
      <c r="K24" s="57"/>
      <c r="L24" s="57"/>
      <c r="M24" s="57"/>
      <c r="N24" s="12"/>
      <c r="O24" s="12"/>
      <c r="P24" s="13"/>
      <c r="Q24" s="1"/>
      <c r="R24" s="14"/>
      <c r="S24" s="1"/>
      <c r="T24" s="1"/>
      <c r="U24" s="5"/>
      <c r="V24" s="6"/>
      <c r="W24" s="5"/>
      <c r="X24" s="5"/>
      <c r="Y24" s="5"/>
      <c r="Z24" s="6"/>
      <c r="AA24" s="6"/>
      <c r="AB24" s="5"/>
      <c r="AC24" s="5"/>
      <c r="AD24" s="5"/>
    </row>
    <row r="25">
      <c r="A25" s="1"/>
      <c r="B25" s="1"/>
      <c r="C25" s="1"/>
      <c r="D25" s="1"/>
      <c r="E25" s="1"/>
      <c r="F25" s="17"/>
      <c r="G25" s="17"/>
      <c r="H25" s="17"/>
      <c r="I25" s="17"/>
      <c r="J25" s="1"/>
      <c r="K25" s="1"/>
      <c r="L25" s="1"/>
      <c r="M25" s="1"/>
      <c r="N25" s="1"/>
      <c r="O25" s="1"/>
      <c r="P25" s="1"/>
      <c r="Q25" s="1"/>
      <c r="R25" s="14"/>
      <c r="S25" s="1"/>
      <c r="T25" s="1"/>
      <c r="U25" s="5"/>
      <c r="V25" s="6"/>
      <c r="W25" s="95"/>
      <c r="X25" s="5"/>
      <c r="Y25" s="5"/>
      <c r="Z25" s="6"/>
      <c r="AA25" s="6"/>
      <c r="AB25" s="5"/>
      <c r="AC25" s="5"/>
      <c r="AD25" s="5"/>
    </row>
    <row r="26">
      <c r="A26" s="1"/>
      <c r="B26" s="1"/>
      <c r="C26" s="1"/>
      <c r="D26" s="1"/>
      <c r="E26" s="1"/>
      <c r="F26" s="17"/>
      <c r="G26" s="17"/>
      <c r="H26" s="17"/>
      <c r="I26" s="17"/>
      <c r="J26" s="1"/>
      <c r="K26" s="1"/>
      <c r="L26" s="1"/>
      <c r="M26" s="1"/>
      <c r="N26" s="1"/>
      <c r="O26" s="1"/>
      <c r="P26" s="1"/>
      <c r="Q26" s="1"/>
      <c r="R26" s="1"/>
      <c r="S26" s="1"/>
      <c r="T26" s="1"/>
      <c r="U26" s="5"/>
      <c r="V26" s="6"/>
      <c r="W26" s="96"/>
      <c r="X26" s="6"/>
      <c r="Y26" s="6"/>
      <c r="Z26" s="6"/>
      <c r="AA26" s="6"/>
      <c r="AB26" s="5"/>
      <c r="AC26" s="5"/>
      <c r="AD26" s="5"/>
    </row>
    <row r="27">
      <c r="A27" s="1"/>
      <c r="B27" s="1"/>
      <c r="C27" s="1"/>
      <c r="D27" s="1"/>
      <c r="E27" s="1"/>
      <c r="F27" s="17"/>
      <c r="G27" s="17"/>
      <c r="H27" s="17"/>
      <c r="I27" s="17"/>
      <c r="J27" s="1"/>
      <c r="K27" s="1"/>
      <c r="L27" s="1"/>
      <c r="M27" s="1"/>
      <c r="N27" s="1"/>
      <c r="O27" s="1"/>
      <c r="P27" s="1"/>
      <c r="Q27" s="1"/>
      <c r="R27" s="1"/>
      <c r="S27" s="1"/>
      <c r="T27" s="1"/>
      <c r="U27" s="5"/>
      <c r="V27" s="6"/>
      <c r="W27" s="6"/>
      <c r="X27" s="97"/>
      <c r="Y27" s="6"/>
      <c r="Z27" s="6"/>
      <c r="AA27" s="6"/>
      <c r="AB27" s="5"/>
      <c r="AC27" s="5"/>
      <c r="AD27" s="5"/>
    </row>
    <row r="28">
      <c r="A28" s="1"/>
      <c r="B28" s="1"/>
      <c r="C28" s="1"/>
      <c r="D28" s="1"/>
      <c r="E28" s="1"/>
      <c r="F28" s="17"/>
      <c r="G28" s="17"/>
      <c r="H28" s="17"/>
      <c r="I28" s="17"/>
      <c r="J28" s="1"/>
      <c r="K28" s="1"/>
      <c r="L28" s="1"/>
      <c r="M28" s="1"/>
      <c r="N28" s="1"/>
      <c r="O28" s="1"/>
      <c r="P28" s="1"/>
      <c r="Q28" s="1"/>
      <c r="R28" s="1"/>
      <c r="S28" s="1"/>
      <c r="T28" s="1"/>
      <c r="U28" s="5"/>
      <c r="V28" s="6"/>
      <c r="W28" s="97"/>
      <c r="X28" s="97"/>
      <c r="Y28" s="6"/>
      <c r="Z28" s="6"/>
      <c r="AA28" s="97"/>
      <c r="AB28" s="5"/>
      <c r="AC28" s="5"/>
      <c r="AD28" s="5"/>
    </row>
    <row r="29">
      <c r="A29" s="1"/>
      <c r="B29" s="1"/>
      <c r="C29" s="1"/>
      <c r="D29" s="1"/>
      <c r="E29" s="1"/>
      <c r="F29" s="98"/>
      <c r="G29" s="1"/>
      <c r="H29" s="1"/>
      <c r="I29" s="1"/>
      <c r="J29" s="1"/>
      <c r="K29" s="1"/>
      <c r="L29" s="1"/>
      <c r="M29" s="1"/>
      <c r="N29" s="1"/>
      <c r="O29" s="1"/>
      <c r="P29" s="1"/>
      <c r="Q29" s="1"/>
      <c r="R29" s="1"/>
      <c r="S29" s="1"/>
      <c r="T29" s="1"/>
      <c r="U29" s="5"/>
      <c r="V29" s="6"/>
      <c r="W29" s="6"/>
      <c r="X29" s="6"/>
      <c r="Y29" s="6"/>
      <c r="Z29" s="6"/>
      <c r="AA29" s="6"/>
      <c r="AB29" s="5"/>
      <c r="AC29" s="5"/>
      <c r="AD29" s="5"/>
    </row>
    <row r="30">
      <c r="A30" s="1"/>
      <c r="B30" s="1"/>
      <c r="C30" s="1"/>
      <c r="D30" s="1"/>
      <c r="E30" s="1"/>
      <c r="F30" s="1"/>
      <c r="G30" s="1"/>
      <c r="H30" s="1"/>
      <c r="I30" s="1"/>
      <c r="J30" s="1"/>
      <c r="K30" s="1"/>
      <c r="L30" s="1"/>
      <c r="M30" s="1"/>
      <c r="N30" s="1"/>
      <c r="O30" s="1"/>
      <c r="P30" s="1"/>
      <c r="Q30" s="1"/>
      <c r="R30" s="1"/>
      <c r="S30" s="1"/>
      <c r="T30" s="1"/>
      <c r="U30" s="5"/>
      <c r="V30" s="6"/>
      <c r="W30" s="6"/>
      <c r="X30" s="6"/>
      <c r="Y30" s="6"/>
      <c r="Z30" s="6"/>
      <c r="AA30" s="6"/>
      <c r="AB30" s="5"/>
      <c r="AC30" s="5"/>
      <c r="AD30" s="5"/>
    </row>
    <row r="31">
      <c r="A31" s="1"/>
      <c r="B31" s="1"/>
      <c r="C31" s="1"/>
      <c r="D31" s="1"/>
      <c r="E31" s="1"/>
      <c r="F31" s="99"/>
      <c r="G31" s="1"/>
      <c r="H31" s="1"/>
      <c r="I31" s="1"/>
      <c r="J31" s="100"/>
      <c r="K31" s="1"/>
      <c r="L31" s="1"/>
      <c r="M31" s="1"/>
      <c r="N31" s="1"/>
      <c r="O31" s="1"/>
      <c r="P31" s="99"/>
      <c r="Q31" s="1"/>
      <c r="R31" s="1"/>
      <c r="S31" s="99"/>
      <c r="T31" s="1"/>
      <c r="U31" s="5"/>
      <c r="V31" s="6"/>
      <c r="W31" s="6"/>
      <c r="X31" s="6"/>
      <c r="Y31" s="6"/>
      <c r="Z31" s="6"/>
      <c r="AA31" s="6"/>
      <c r="AB31" s="5"/>
      <c r="AC31" s="5"/>
      <c r="AD31" s="5"/>
    </row>
    <row r="32">
      <c r="A32" s="1"/>
      <c r="B32" s="101" t="s">
        <v>27</v>
      </c>
      <c r="C32" s="2" t="str">
        <f>IF(E16&lt;&gt;"USD", "Historical Data (converted to USD from " &amp; E16 &amp; ")", "Historical Data")</f>
        <v>Historical Data</v>
      </c>
      <c r="D32" s="3"/>
      <c r="E32" s="3"/>
      <c r="F32" s="3"/>
      <c r="G32" s="3"/>
      <c r="H32" s="3"/>
      <c r="I32" s="3"/>
      <c r="J32" s="3"/>
      <c r="K32" s="3"/>
      <c r="L32" s="3"/>
      <c r="M32" s="3"/>
      <c r="N32" s="3"/>
      <c r="O32" s="3"/>
      <c r="P32" s="3"/>
      <c r="Q32" s="3"/>
      <c r="R32" s="3"/>
      <c r="S32" s="3"/>
      <c r="T32" s="4"/>
      <c r="U32" s="5"/>
      <c r="V32" s="5"/>
      <c r="W32" s="5"/>
      <c r="X32" s="6"/>
      <c r="Y32" s="6"/>
      <c r="Z32" s="5"/>
      <c r="AA32" s="6"/>
      <c r="AB32" s="5"/>
      <c r="AC32" s="102"/>
      <c r="AD32" s="95"/>
    </row>
    <row r="33">
      <c r="A33" s="103"/>
      <c r="B33" s="104" t="str">
        <f>E16</f>
        <v>USD</v>
      </c>
      <c r="C33" s="105"/>
      <c r="D33" s="106" t="s">
        <v>29</v>
      </c>
      <c r="E33" s="107" t="s">
        <v>30</v>
      </c>
      <c r="F33" s="107" t="s">
        <v>31</v>
      </c>
      <c r="G33" s="107" t="s">
        <v>24</v>
      </c>
      <c r="H33" s="107" t="s">
        <v>32</v>
      </c>
      <c r="I33" s="107" t="s">
        <v>33</v>
      </c>
      <c r="J33" s="107" t="s">
        <v>34</v>
      </c>
      <c r="K33" s="108" t="s">
        <v>35</v>
      </c>
      <c r="L33" s="108" t="s">
        <v>36</v>
      </c>
      <c r="M33" s="108" t="s">
        <v>37</v>
      </c>
      <c r="N33" s="108" t="s">
        <v>38</v>
      </c>
      <c r="O33" s="107" t="s">
        <v>39</v>
      </c>
      <c r="P33" s="107" t="s">
        <v>40</v>
      </c>
      <c r="Q33" s="107" t="s">
        <v>41</v>
      </c>
      <c r="R33" s="108" t="s">
        <v>42</v>
      </c>
      <c r="S33" s="107" t="s">
        <v>43</v>
      </c>
      <c r="T33" s="108" t="s">
        <v>44</v>
      </c>
      <c r="U33" s="5"/>
      <c r="V33" s="109" t="s">
        <v>45</v>
      </c>
      <c r="W33" s="109" t="s">
        <v>46</v>
      </c>
      <c r="X33" s="109" t="s">
        <v>47</v>
      </c>
      <c r="Y33" s="109" t="s">
        <v>48</v>
      </c>
      <c r="Z33" s="110" t="s">
        <v>49</v>
      </c>
      <c r="AA33" s="110" t="s">
        <v>50</v>
      </c>
      <c r="AB33" s="110" t="s">
        <v>51</v>
      </c>
      <c r="AC33" s="111"/>
      <c r="AD33" s="112"/>
    </row>
    <row r="34">
      <c r="A34" s="113">
        <v>2007.0</v>
      </c>
      <c r="B34" s="114">
        <f t="array" ref="B34">INDEX('Currency Conversion'!$C$4:$L$23, MATCH(C34, 'Currency Conversion'!$B$4:$B$23, 0), MATCH($E$16, 'Currency Conversion'!$C$3:$L$3, 0))</f>
        <v>1</v>
      </c>
      <c r="C34" s="115">
        <v>2007.0</v>
      </c>
      <c r="D34" s="116">
        <f t="shared" ref="D34:D53" si="6">IF($C$3="Load",DVH($C$5,"revenue",$C34)*$B34,D34)</f>
        <v>153000000</v>
      </c>
      <c r="E34" s="117"/>
      <c r="F34" s="116">
        <f t="shared" ref="F34:F53" si="7">IF($C$3="Load",DVH($C$5,"operatingincome",$C34)*$B34,F34)</f>
        <v>-124000000</v>
      </c>
      <c r="G34" s="118">
        <f t="shared" ref="G34:G53" si="8">iferror(F34/D34,"")</f>
        <v>-0.8104575163</v>
      </c>
      <c r="H34" s="116">
        <f t="shared" ref="H34:H53" si="9">IF($C$3="Load",DVH($C$5,"operatingcashflow",$C34)*$B34,H34)</f>
        <v>0</v>
      </c>
      <c r="I34" s="116">
        <f t="shared" ref="I34:I53" si="10">IF($C$3="Load",iferror(DVH($C$5,"capex",$C34)*$B34,""),I34)</f>
        <v>0</v>
      </c>
      <c r="J34" s="116">
        <f t="shared" ref="J34:J53" si="11">IF($C$3="Load",iferror(DVH($C$5,"sharebasedcompensation",$C34)*$B34,""),J34)</f>
        <v>0</v>
      </c>
      <c r="K34" s="116">
        <f t="shared" ref="K34:K53" si="12">iferror(H34-I34-J34,"")</f>
        <v>0</v>
      </c>
      <c r="L34" s="118">
        <f t="shared" ref="L34:L53" si="13">iferror(K34/D34,"")</f>
        <v>0</v>
      </c>
      <c r="M34" s="116">
        <f t="shared" ref="M34:M53" si="14">IF($C$3="Load",iferror($B34*DVH($C$5,"totaldebt",$C34),"")-iferror($B34*DVH($C$5,"cash",$C34),""),M34)</f>
        <v>0</v>
      </c>
      <c r="N34" s="119">
        <f t="shared" ref="N34:N53" si="15">iferror(M34/F34,"")</f>
        <v>0</v>
      </c>
      <c r="O34" s="116">
        <f t="shared" ref="O34:O52" si="16">IF($C$3="Load",DVH($C$5,"Shares",$C34),O34)</f>
        <v>2138085036</v>
      </c>
      <c r="P34" s="116">
        <f t="shared" ref="P34:P52" si="17">IF($C$3="Load",DVH($C$5,"MarketCap",$C34),P34)</f>
        <v>81738990926</v>
      </c>
      <c r="Q34" s="116">
        <f t="shared" ref="Q34:Q52" si="18">IF($C$3="Load",DVH($C$5,"EnterpriseValue",$C34),Q34)</f>
        <v>0</v>
      </c>
      <c r="R34" s="118">
        <f t="shared" ref="R34:R53" si="19">iferror(K34/P34,"")</f>
        <v>0</v>
      </c>
      <c r="S34" s="119">
        <f t="shared" ref="S34:S53" si="20">iferror(Q34/F34,"")</f>
        <v>0</v>
      </c>
      <c r="T34" s="116">
        <f t="shared" ref="T34:T53" si="21">IF($C$3="Load",$B34*DVH($C$5,"TangibleBookValue",$C34),T34)</f>
        <v>0</v>
      </c>
      <c r="U34" s="82"/>
      <c r="V34" s="120">
        <f t="shared" ref="V34:V53" si="22">iferror(IF($C$3="Load",DVH($C$5,"grossprofit",$C34)*$B34,V34),"")</f>
        <v>112000000</v>
      </c>
      <c r="W34" s="121">
        <f t="shared" ref="W34:W53" si="23">iferror(V34/$D34,"")</f>
        <v>0.7320261438</v>
      </c>
      <c r="X34" s="120">
        <f t="shared" ref="X34:X53" si="24">iferror(IF($C$3="Load",DVH($C$5,"netincome",$C34)*$B34,X34),"")</f>
        <v>-138000000</v>
      </c>
      <c r="Y34" s="121">
        <f t="shared" ref="Y34:Y53" si="25">iferror(X34/$D34,"")</f>
        <v>-0.9019607843</v>
      </c>
      <c r="Z34" s="120">
        <f t="shared" ref="Z34:Z53" si="26">iferror(if(X34&lt;0,if(F34&lt;0,0,F34),if(F34&gt;X34,(F34-X34),0)),"")</f>
        <v>0</v>
      </c>
      <c r="AA34" s="120">
        <f t="shared" ref="AA34:AA53" si="27">iferror(if(and(X34&lt;0,F34&lt;0),V34,V34-max(F34,X34)),"")</f>
        <v>112000000</v>
      </c>
      <c r="AB34" s="120">
        <f t="shared" ref="AB34:AB53" si="28">iferror(D34-V34,"")</f>
        <v>41000000</v>
      </c>
      <c r="AC34" s="5"/>
      <c r="AD34" s="5"/>
    </row>
    <row r="35">
      <c r="A35" s="113">
        <v>2008.0</v>
      </c>
      <c r="B35" s="114">
        <f t="array" ref="B35">INDEX('Currency Conversion'!$C$4:$L$23, MATCH(C35, 'Currency Conversion'!$B$4:$B$23, 0), MATCH($E$16, 'Currency Conversion'!$C$3:$L$3, 0))</f>
        <v>1</v>
      </c>
      <c r="C35" s="115">
        <v>2008.0</v>
      </c>
      <c r="D35" s="116">
        <f t="shared" si="6"/>
        <v>272000000</v>
      </c>
      <c r="E35" s="118">
        <f t="shared" ref="E35:E52" si="29">iferror(D35/D34-1,"")</f>
        <v>0.7777777778</v>
      </c>
      <c r="F35" s="116">
        <f t="shared" si="7"/>
        <v>-55000000</v>
      </c>
      <c r="G35" s="118">
        <f t="shared" si="8"/>
        <v>-0.2022058824</v>
      </c>
      <c r="H35" s="116">
        <f t="shared" si="9"/>
        <v>0</v>
      </c>
      <c r="I35" s="116">
        <f t="shared" si="10"/>
        <v>0</v>
      </c>
      <c r="J35" s="116">
        <f t="shared" si="11"/>
        <v>0</v>
      </c>
      <c r="K35" s="116">
        <f t="shared" si="12"/>
        <v>0</v>
      </c>
      <c r="L35" s="118">
        <f t="shared" si="13"/>
        <v>0</v>
      </c>
      <c r="M35" s="116">
        <f t="shared" si="14"/>
        <v>0</v>
      </c>
      <c r="N35" s="119">
        <f t="shared" si="15"/>
        <v>0</v>
      </c>
      <c r="O35" s="116">
        <f t="shared" si="16"/>
        <v>2138085036</v>
      </c>
      <c r="P35" s="116">
        <f t="shared" si="17"/>
        <v>81738990926</v>
      </c>
      <c r="Q35" s="116">
        <f t="shared" si="18"/>
        <v>0</v>
      </c>
      <c r="R35" s="118">
        <f t="shared" si="19"/>
        <v>0</v>
      </c>
      <c r="S35" s="119">
        <f t="shared" si="20"/>
        <v>0</v>
      </c>
      <c r="T35" s="116">
        <f t="shared" si="21"/>
        <v>0</v>
      </c>
      <c r="U35" s="82"/>
      <c r="V35" s="120">
        <f t="shared" si="22"/>
        <v>148000000</v>
      </c>
      <c r="W35" s="121">
        <f t="shared" si="23"/>
        <v>0.5441176471</v>
      </c>
      <c r="X35" s="120">
        <f t="shared" si="24"/>
        <v>-56000000</v>
      </c>
      <c r="Y35" s="121">
        <f t="shared" si="25"/>
        <v>-0.2058823529</v>
      </c>
      <c r="Z35" s="120">
        <f t="shared" si="26"/>
        <v>0</v>
      </c>
      <c r="AA35" s="120">
        <f t="shared" si="27"/>
        <v>148000000</v>
      </c>
      <c r="AB35" s="120">
        <f t="shared" si="28"/>
        <v>124000000</v>
      </c>
      <c r="AC35" s="5"/>
      <c r="AD35" s="5"/>
    </row>
    <row r="36">
      <c r="A36" s="113">
        <v>2009.0</v>
      </c>
      <c r="B36" s="114">
        <f t="array" ref="B36">INDEX('Currency Conversion'!$C$4:$L$23, MATCH(C36, 'Currency Conversion'!$B$4:$B$23, 0), MATCH($E$16, 'Currency Conversion'!$C$3:$L$3, 0))</f>
        <v>1</v>
      </c>
      <c r="C36" s="115">
        <v>2009.0</v>
      </c>
      <c r="D36" s="116">
        <f t="shared" si="6"/>
        <v>777000000</v>
      </c>
      <c r="E36" s="118">
        <f t="shared" si="29"/>
        <v>1.856617647</v>
      </c>
      <c r="F36" s="116">
        <f t="shared" si="7"/>
        <v>262000000</v>
      </c>
      <c r="G36" s="118">
        <f t="shared" si="8"/>
        <v>0.3371943372</v>
      </c>
      <c r="H36" s="116">
        <f t="shared" si="9"/>
        <v>155000000</v>
      </c>
      <c r="I36" s="116">
        <f t="shared" si="10"/>
        <v>-33000000</v>
      </c>
      <c r="J36" s="116">
        <f t="shared" si="11"/>
        <v>0</v>
      </c>
      <c r="K36" s="116">
        <f t="shared" si="12"/>
        <v>188000000</v>
      </c>
      <c r="L36" s="118">
        <f t="shared" si="13"/>
        <v>0.241956242</v>
      </c>
      <c r="M36" s="116">
        <f t="shared" si="14"/>
        <v>0</v>
      </c>
      <c r="N36" s="119">
        <f t="shared" si="15"/>
        <v>0</v>
      </c>
      <c r="O36" s="116">
        <f t="shared" si="16"/>
        <v>2138085036</v>
      </c>
      <c r="P36" s="116">
        <f t="shared" si="17"/>
        <v>81738990926</v>
      </c>
      <c r="Q36" s="116">
        <f t="shared" si="18"/>
        <v>0</v>
      </c>
      <c r="R36" s="118">
        <f t="shared" si="19"/>
        <v>0.002300003926</v>
      </c>
      <c r="S36" s="119">
        <f t="shared" si="20"/>
        <v>0</v>
      </c>
      <c r="T36" s="116">
        <f t="shared" si="21"/>
        <v>0</v>
      </c>
      <c r="U36" s="82"/>
      <c r="V36" s="120">
        <f t="shared" si="22"/>
        <v>554000000</v>
      </c>
      <c r="W36" s="121">
        <f t="shared" si="23"/>
        <v>0.712998713</v>
      </c>
      <c r="X36" s="120">
        <f t="shared" si="24"/>
        <v>122000000</v>
      </c>
      <c r="Y36" s="121">
        <f t="shared" si="25"/>
        <v>0.157014157</v>
      </c>
      <c r="Z36" s="120">
        <f t="shared" si="26"/>
        <v>140000000</v>
      </c>
      <c r="AA36" s="120">
        <f t="shared" si="27"/>
        <v>292000000</v>
      </c>
      <c r="AB36" s="120">
        <f t="shared" si="28"/>
        <v>223000000</v>
      </c>
      <c r="AC36" s="5"/>
      <c r="AD36" s="5"/>
    </row>
    <row r="37">
      <c r="A37" s="113">
        <v>2010.0</v>
      </c>
      <c r="B37" s="114">
        <f t="array" ref="B37">INDEX('Currency Conversion'!$C$4:$L$23, MATCH(C37, 'Currency Conversion'!$B$4:$B$23, 0), MATCH($E$16, 'Currency Conversion'!$C$3:$L$3, 0))</f>
        <v>1</v>
      </c>
      <c r="C37" s="115">
        <v>2010.0</v>
      </c>
      <c r="D37" s="116">
        <f t="shared" si="6"/>
        <v>1974000000</v>
      </c>
      <c r="E37" s="118">
        <f t="shared" si="29"/>
        <v>1.540540541</v>
      </c>
      <c r="F37" s="116">
        <f t="shared" si="7"/>
        <v>1032000000</v>
      </c>
      <c r="G37" s="118">
        <f t="shared" si="8"/>
        <v>0.5227963526</v>
      </c>
      <c r="H37" s="116">
        <f t="shared" si="9"/>
        <v>698000000</v>
      </c>
      <c r="I37" s="116">
        <f t="shared" si="10"/>
        <v>-293000000</v>
      </c>
      <c r="J37" s="116">
        <f t="shared" si="11"/>
        <v>20000000</v>
      </c>
      <c r="K37" s="116">
        <f t="shared" si="12"/>
        <v>971000000</v>
      </c>
      <c r="L37" s="118">
        <f t="shared" si="13"/>
        <v>0.4918946302</v>
      </c>
      <c r="M37" s="116">
        <f t="shared" si="14"/>
        <v>-1312000000</v>
      </c>
      <c r="N37" s="119">
        <f t="shared" si="15"/>
        <v>-1.271317829</v>
      </c>
      <c r="O37" s="116">
        <f t="shared" si="16"/>
        <v>2347042528</v>
      </c>
      <c r="P37" s="116">
        <f t="shared" si="17"/>
        <v>87815935845</v>
      </c>
      <c r="Q37" s="116">
        <f t="shared" si="18"/>
        <v>86503935845</v>
      </c>
      <c r="R37" s="118">
        <f t="shared" si="19"/>
        <v>0.01105721861</v>
      </c>
      <c r="S37" s="119">
        <f t="shared" si="20"/>
        <v>83.82164326</v>
      </c>
      <c r="T37" s="116">
        <f t="shared" si="21"/>
        <v>2066000000</v>
      </c>
      <c r="U37" s="82"/>
      <c r="V37" s="120">
        <f t="shared" si="22"/>
        <v>1481000000</v>
      </c>
      <c r="W37" s="121">
        <f t="shared" si="23"/>
        <v>0.7502532928</v>
      </c>
      <c r="X37" s="120">
        <f t="shared" si="24"/>
        <v>372000000</v>
      </c>
      <c r="Y37" s="121">
        <f t="shared" si="25"/>
        <v>0.188449848</v>
      </c>
      <c r="Z37" s="120">
        <f t="shared" si="26"/>
        <v>660000000</v>
      </c>
      <c r="AA37" s="120">
        <f t="shared" si="27"/>
        <v>449000000</v>
      </c>
      <c r="AB37" s="120">
        <f t="shared" si="28"/>
        <v>493000000</v>
      </c>
      <c r="AC37" s="5"/>
      <c r="AD37" s="5"/>
    </row>
    <row r="38">
      <c r="A38" s="113">
        <v>2011.0</v>
      </c>
      <c r="B38" s="114">
        <f t="array" ref="B38">INDEX('Currency Conversion'!$C$4:$L$23, MATCH(C38, 'Currency Conversion'!$B$4:$B$23, 0), MATCH($E$16, 'Currency Conversion'!$C$3:$L$3, 0))</f>
        <v>1</v>
      </c>
      <c r="C38" s="115">
        <v>2011.0</v>
      </c>
      <c r="D38" s="116">
        <f t="shared" si="6"/>
        <v>3711000000</v>
      </c>
      <c r="E38" s="118">
        <f t="shared" si="29"/>
        <v>0.8799392097</v>
      </c>
      <c r="F38" s="116">
        <f t="shared" si="7"/>
        <v>1756000000</v>
      </c>
      <c r="G38" s="118">
        <f t="shared" si="8"/>
        <v>0.47318782</v>
      </c>
      <c r="H38" s="116">
        <f t="shared" si="9"/>
        <v>1549000000</v>
      </c>
      <c r="I38" s="116">
        <f t="shared" si="10"/>
        <v>-606000000</v>
      </c>
      <c r="J38" s="116">
        <f t="shared" si="11"/>
        <v>217000000</v>
      </c>
      <c r="K38" s="116">
        <f t="shared" si="12"/>
        <v>1938000000</v>
      </c>
      <c r="L38" s="118">
        <f t="shared" si="13"/>
        <v>0.5222312045</v>
      </c>
      <c r="M38" s="116">
        <f t="shared" si="14"/>
        <v>-835000000</v>
      </c>
      <c r="N38" s="119">
        <f t="shared" si="15"/>
        <v>-0.4755125285</v>
      </c>
      <c r="O38" s="116">
        <f t="shared" si="16"/>
        <v>2347042529</v>
      </c>
      <c r="P38" s="116">
        <f t="shared" si="17"/>
        <v>87815935845</v>
      </c>
      <c r="Q38" s="116">
        <f t="shared" si="18"/>
        <v>86980935845</v>
      </c>
      <c r="R38" s="118">
        <f t="shared" si="19"/>
        <v>0.0220688874</v>
      </c>
      <c r="S38" s="119">
        <f t="shared" si="20"/>
        <v>49.53356255</v>
      </c>
      <c r="T38" s="116">
        <f t="shared" si="21"/>
        <v>4737000000</v>
      </c>
      <c r="U38" s="82"/>
      <c r="V38" s="120">
        <f t="shared" si="22"/>
        <v>2851000000</v>
      </c>
      <c r="W38" s="121">
        <f t="shared" si="23"/>
        <v>0.7682565346</v>
      </c>
      <c r="X38" s="120">
        <f t="shared" si="24"/>
        <v>1000000000</v>
      </c>
      <c r="Y38" s="121">
        <f t="shared" si="25"/>
        <v>0.2694691458</v>
      </c>
      <c r="Z38" s="120">
        <f t="shared" si="26"/>
        <v>756000000</v>
      </c>
      <c r="AA38" s="120">
        <f t="shared" si="27"/>
        <v>1095000000</v>
      </c>
      <c r="AB38" s="120">
        <f t="shared" si="28"/>
        <v>860000000</v>
      </c>
      <c r="AC38" s="5"/>
      <c r="AD38" s="5"/>
    </row>
    <row r="39">
      <c r="A39" s="113">
        <v>2012.0</v>
      </c>
      <c r="B39" s="114">
        <f t="array" ref="B39">INDEX('Currency Conversion'!$C$4:$L$23, MATCH(C39, 'Currency Conversion'!$B$4:$B$23, 0), MATCH($E$16, 'Currency Conversion'!$C$3:$L$3, 0))</f>
        <v>1</v>
      </c>
      <c r="C39" s="115">
        <v>2012.0</v>
      </c>
      <c r="D39" s="116">
        <f t="shared" si="6"/>
        <v>5089000000</v>
      </c>
      <c r="E39" s="118">
        <f t="shared" si="29"/>
        <v>0.3713284829</v>
      </c>
      <c r="F39" s="116">
        <f t="shared" si="7"/>
        <v>538000000</v>
      </c>
      <c r="G39" s="118">
        <f t="shared" si="8"/>
        <v>0.1057182158</v>
      </c>
      <c r="H39" s="116">
        <f t="shared" si="9"/>
        <v>1612000000</v>
      </c>
      <c r="I39" s="116">
        <f t="shared" si="10"/>
        <v>-1235000000</v>
      </c>
      <c r="J39" s="116">
        <f t="shared" si="11"/>
        <v>1572000000</v>
      </c>
      <c r="K39" s="116">
        <f t="shared" si="12"/>
        <v>1275000000</v>
      </c>
      <c r="L39" s="118">
        <f t="shared" si="13"/>
        <v>0.2505403812</v>
      </c>
      <c r="M39" s="116">
        <f t="shared" si="14"/>
        <v>-28000000</v>
      </c>
      <c r="N39" s="119">
        <f t="shared" si="15"/>
        <v>-0.05204460967</v>
      </c>
      <c r="O39" s="116">
        <f t="shared" si="16"/>
        <v>3200000000</v>
      </c>
      <c r="P39" s="116">
        <f t="shared" si="17"/>
        <v>85184000000</v>
      </c>
      <c r="Q39" s="116">
        <f t="shared" si="18"/>
        <v>85156000000</v>
      </c>
      <c r="R39" s="118">
        <f t="shared" si="19"/>
        <v>0.01496759955</v>
      </c>
      <c r="S39" s="119">
        <f t="shared" si="20"/>
        <v>158.2825279</v>
      </c>
      <c r="T39" s="116">
        <f t="shared" si="21"/>
        <v>10367000000</v>
      </c>
      <c r="U39" s="82"/>
      <c r="V39" s="120">
        <f t="shared" si="22"/>
        <v>3725000000</v>
      </c>
      <c r="W39" s="121">
        <f t="shared" si="23"/>
        <v>0.7319709177</v>
      </c>
      <c r="X39" s="120">
        <f t="shared" si="24"/>
        <v>53000000</v>
      </c>
      <c r="Y39" s="121">
        <f t="shared" si="25"/>
        <v>0.01041461977</v>
      </c>
      <c r="Z39" s="120">
        <f t="shared" si="26"/>
        <v>485000000</v>
      </c>
      <c r="AA39" s="120">
        <f t="shared" si="27"/>
        <v>3187000000</v>
      </c>
      <c r="AB39" s="120">
        <f t="shared" si="28"/>
        <v>1364000000</v>
      </c>
      <c r="AC39" s="5"/>
      <c r="AD39" s="5"/>
    </row>
    <row r="40">
      <c r="A40" s="113">
        <v>2013.0</v>
      </c>
      <c r="B40" s="114">
        <f t="array" ref="B40">INDEX('Currency Conversion'!$C$4:$L$23, MATCH(C40, 'Currency Conversion'!$B$4:$B$23, 0), MATCH($E$16, 'Currency Conversion'!$C$3:$L$3, 0))</f>
        <v>1</v>
      </c>
      <c r="C40" s="115">
        <v>2013.0</v>
      </c>
      <c r="D40" s="116">
        <f t="shared" si="6"/>
        <v>7872000000</v>
      </c>
      <c r="E40" s="118">
        <f t="shared" si="29"/>
        <v>0.546865789</v>
      </c>
      <c r="F40" s="116">
        <f t="shared" si="7"/>
        <v>2804000000</v>
      </c>
      <c r="G40" s="118">
        <f t="shared" si="8"/>
        <v>0.356199187</v>
      </c>
      <c r="H40" s="116">
        <f t="shared" si="9"/>
        <v>4222000000</v>
      </c>
      <c r="I40" s="116">
        <f t="shared" si="10"/>
        <v>-1362000000</v>
      </c>
      <c r="J40" s="116">
        <f t="shared" si="11"/>
        <v>906000000</v>
      </c>
      <c r="K40" s="116">
        <f t="shared" si="12"/>
        <v>4678000000</v>
      </c>
      <c r="L40" s="118">
        <f t="shared" si="13"/>
        <v>0.5942581301</v>
      </c>
      <c r="M40" s="116">
        <f t="shared" si="14"/>
        <v>-2847000000</v>
      </c>
      <c r="N40" s="119">
        <f t="shared" si="15"/>
        <v>-1.015335235</v>
      </c>
      <c r="O40" s="116">
        <f t="shared" si="16"/>
        <v>2517000000</v>
      </c>
      <c r="P40" s="116">
        <f t="shared" si="17"/>
        <v>136728853362</v>
      </c>
      <c r="Q40" s="116">
        <f t="shared" si="18"/>
        <v>133881853362</v>
      </c>
      <c r="R40" s="118">
        <f t="shared" si="19"/>
        <v>0.03421370022</v>
      </c>
      <c r="S40" s="119">
        <f t="shared" si="20"/>
        <v>47.746738</v>
      </c>
      <c r="T40" s="116">
        <f t="shared" si="21"/>
        <v>13748000000</v>
      </c>
      <c r="U40" s="82"/>
      <c r="V40" s="120">
        <f t="shared" si="22"/>
        <v>5997000000</v>
      </c>
      <c r="W40" s="121">
        <f t="shared" si="23"/>
        <v>0.7618140244</v>
      </c>
      <c r="X40" s="120">
        <f t="shared" si="24"/>
        <v>1491000000</v>
      </c>
      <c r="Y40" s="121">
        <f t="shared" si="25"/>
        <v>0.1894054878</v>
      </c>
      <c r="Z40" s="120">
        <f t="shared" si="26"/>
        <v>1313000000</v>
      </c>
      <c r="AA40" s="120">
        <f t="shared" si="27"/>
        <v>3193000000</v>
      </c>
      <c r="AB40" s="120">
        <f t="shared" si="28"/>
        <v>1875000000</v>
      </c>
      <c r="AC40" s="5"/>
      <c r="AD40" s="5"/>
    </row>
    <row r="41">
      <c r="A41" s="113">
        <v>2014.0</v>
      </c>
      <c r="B41" s="114">
        <f t="array" ref="B41">INDEX('Currency Conversion'!$C$4:$L$23, MATCH(C41, 'Currency Conversion'!$B$4:$B$23, 0), MATCH($E$16, 'Currency Conversion'!$C$3:$L$3, 0))</f>
        <v>1</v>
      </c>
      <c r="C41" s="115">
        <v>2014.0</v>
      </c>
      <c r="D41" s="116">
        <f t="shared" si="6"/>
        <v>12466000000</v>
      </c>
      <c r="E41" s="118">
        <f t="shared" si="29"/>
        <v>0.5835873984</v>
      </c>
      <c r="F41" s="116">
        <f t="shared" si="7"/>
        <v>4994000000</v>
      </c>
      <c r="G41" s="118">
        <f t="shared" si="8"/>
        <v>0.4006096583</v>
      </c>
      <c r="H41" s="116">
        <f t="shared" si="9"/>
        <v>5457000000</v>
      </c>
      <c r="I41" s="116">
        <f t="shared" si="10"/>
        <v>-1831000000</v>
      </c>
      <c r="J41" s="116">
        <f t="shared" si="11"/>
        <v>1786000000</v>
      </c>
      <c r="K41" s="116">
        <f t="shared" si="12"/>
        <v>5502000000</v>
      </c>
      <c r="L41" s="118">
        <f t="shared" si="13"/>
        <v>0.4413605006</v>
      </c>
      <c r="M41" s="116">
        <f t="shared" si="14"/>
        <v>-4082000000</v>
      </c>
      <c r="N41" s="119">
        <f t="shared" si="15"/>
        <v>-0.817380857</v>
      </c>
      <c r="O41" s="116">
        <f t="shared" si="16"/>
        <v>2664000000</v>
      </c>
      <c r="P41" s="116">
        <f t="shared" si="17"/>
        <v>206784988200</v>
      </c>
      <c r="Q41" s="116">
        <f t="shared" si="18"/>
        <v>202702988200</v>
      </c>
      <c r="R41" s="118">
        <f t="shared" si="19"/>
        <v>0.02660734731</v>
      </c>
      <c r="S41" s="119">
        <f t="shared" si="20"/>
        <v>40.58930481</v>
      </c>
      <c r="T41" s="116">
        <f t="shared" si="21"/>
        <v>14186000000</v>
      </c>
      <c r="U41" s="82"/>
      <c r="V41" s="120">
        <f t="shared" si="22"/>
        <v>10313000000</v>
      </c>
      <c r="W41" s="121">
        <f t="shared" si="23"/>
        <v>0.8272902294</v>
      </c>
      <c r="X41" s="120">
        <f t="shared" si="24"/>
        <v>2940000000</v>
      </c>
      <c r="Y41" s="121">
        <f t="shared" si="25"/>
        <v>0.2358414888</v>
      </c>
      <c r="Z41" s="120">
        <f t="shared" si="26"/>
        <v>2054000000</v>
      </c>
      <c r="AA41" s="120">
        <f t="shared" si="27"/>
        <v>5319000000</v>
      </c>
      <c r="AB41" s="120">
        <f t="shared" si="28"/>
        <v>2153000000</v>
      </c>
      <c r="AC41" s="5"/>
      <c r="AD41" s="5"/>
    </row>
    <row r="42">
      <c r="A42" s="113">
        <v>2015.0</v>
      </c>
      <c r="B42" s="114">
        <f t="array" ref="B42">INDEX('Currency Conversion'!$C$4:$L$23, MATCH(C42, 'Currency Conversion'!$B$4:$B$23, 0), MATCH($E$16, 'Currency Conversion'!$C$3:$L$3, 0))</f>
        <v>1</v>
      </c>
      <c r="C42" s="115">
        <v>2015.0</v>
      </c>
      <c r="D42" s="116">
        <f t="shared" si="6"/>
        <v>17928000000</v>
      </c>
      <c r="E42" s="118">
        <f t="shared" si="29"/>
        <v>0.4381517728</v>
      </c>
      <c r="F42" s="116">
        <f t="shared" si="7"/>
        <v>6225000000</v>
      </c>
      <c r="G42" s="118">
        <f t="shared" si="8"/>
        <v>0.3472222222</v>
      </c>
      <c r="H42" s="116">
        <f t="shared" si="9"/>
        <v>8599000000</v>
      </c>
      <c r="I42" s="116">
        <f t="shared" si="10"/>
        <v>-2523000000</v>
      </c>
      <c r="J42" s="116">
        <f t="shared" si="11"/>
        <v>2960000000</v>
      </c>
      <c r="K42" s="116">
        <f t="shared" si="12"/>
        <v>8162000000</v>
      </c>
      <c r="L42" s="118">
        <f t="shared" si="13"/>
        <v>0.4552655065</v>
      </c>
      <c r="M42" s="116">
        <f t="shared" si="14"/>
        <v>-4592000000</v>
      </c>
      <c r="N42" s="119">
        <f t="shared" si="15"/>
        <v>-0.7376706827</v>
      </c>
      <c r="O42" s="116">
        <f t="shared" si="16"/>
        <v>2853000000</v>
      </c>
      <c r="P42" s="116">
        <f t="shared" si="17"/>
        <v>297056791980</v>
      </c>
      <c r="Q42" s="116">
        <f t="shared" si="18"/>
        <v>292464791980</v>
      </c>
      <c r="R42" s="118">
        <f t="shared" si="19"/>
        <v>0.02747622751</v>
      </c>
      <c r="S42" s="119">
        <f t="shared" si="20"/>
        <v>46.9822959</v>
      </c>
      <c r="T42" s="116">
        <f t="shared" si="21"/>
        <v>22946000000</v>
      </c>
      <c r="U42" s="82"/>
      <c r="V42" s="120">
        <f t="shared" si="22"/>
        <v>15061000000</v>
      </c>
      <c r="W42" s="121">
        <f t="shared" si="23"/>
        <v>0.8400825524</v>
      </c>
      <c r="X42" s="120">
        <f t="shared" si="24"/>
        <v>3688000000</v>
      </c>
      <c r="Y42" s="121">
        <f t="shared" si="25"/>
        <v>0.2057117358</v>
      </c>
      <c r="Z42" s="120">
        <f t="shared" si="26"/>
        <v>2537000000</v>
      </c>
      <c r="AA42" s="120">
        <f t="shared" si="27"/>
        <v>8836000000</v>
      </c>
      <c r="AB42" s="120">
        <f t="shared" si="28"/>
        <v>2867000000</v>
      </c>
      <c r="AC42" s="5"/>
      <c r="AD42" s="5"/>
    </row>
    <row r="43">
      <c r="A43" s="113">
        <v>2016.0</v>
      </c>
      <c r="B43" s="114">
        <f t="array" ref="B43">INDEX('Currency Conversion'!$C$4:$L$23, MATCH(C43, 'Currency Conversion'!$B$4:$B$23, 0), MATCH($E$16, 'Currency Conversion'!$C$3:$L$3, 0))</f>
        <v>1</v>
      </c>
      <c r="C43" s="115">
        <v>2016.0</v>
      </c>
      <c r="D43" s="116">
        <f t="shared" si="6"/>
        <v>27638000000</v>
      </c>
      <c r="E43" s="118">
        <f t="shared" si="29"/>
        <v>0.541610888</v>
      </c>
      <c r="F43" s="116">
        <f t="shared" si="7"/>
        <v>12427000000</v>
      </c>
      <c r="G43" s="118">
        <f t="shared" si="8"/>
        <v>0.4496345611</v>
      </c>
      <c r="H43" s="116">
        <f t="shared" si="9"/>
        <v>16108000000</v>
      </c>
      <c r="I43" s="116">
        <f t="shared" si="10"/>
        <v>-4491000000</v>
      </c>
      <c r="J43" s="116">
        <f t="shared" si="11"/>
        <v>3218000000</v>
      </c>
      <c r="K43" s="116">
        <f t="shared" si="12"/>
        <v>17381000000</v>
      </c>
      <c r="L43" s="118">
        <f t="shared" si="13"/>
        <v>0.6288805268</v>
      </c>
      <c r="M43" s="116">
        <f t="shared" si="14"/>
        <v>-8903000000</v>
      </c>
      <c r="N43" s="119">
        <f t="shared" si="15"/>
        <v>-0.7164239157</v>
      </c>
      <c r="O43" s="116">
        <f t="shared" si="16"/>
        <v>2925000000</v>
      </c>
      <c r="P43" s="116">
        <f t="shared" si="17"/>
        <v>335566104900</v>
      </c>
      <c r="Q43" s="116">
        <f t="shared" si="18"/>
        <v>326663104900</v>
      </c>
      <c r="R43" s="118">
        <f t="shared" si="19"/>
        <v>0.05179605373</v>
      </c>
      <c r="S43" s="119">
        <f t="shared" si="20"/>
        <v>26.28656191</v>
      </c>
      <c r="T43" s="116">
        <f t="shared" si="21"/>
        <v>38537000000</v>
      </c>
      <c r="U43" s="82"/>
      <c r="V43" s="120">
        <f t="shared" si="22"/>
        <v>23849000000</v>
      </c>
      <c r="W43" s="121">
        <f t="shared" si="23"/>
        <v>0.8629061437</v>
      </c>
      <c r="X43" s="120">
        <f t="shared" si="24"/>
        <v>10188000000</v>
      </c>
      <c r="Y43" s="121">
        <f t="shared" si="25"/>
        <v>0.3686229105</v>
      </c>
      <c r="Z43" s="120">
        <f t="shared" si="26"/>
        <v>2239000000</v>
      </c>
      <c r="AA43" s="120">
        <f t="shared" si="27"/>
        <v>11422000000</v>
      </c>
      <c r="AB43" s="120">
        <f t="shared" si="28"/>
        <v>3789000000</v>
      </c>
      <c r="AC43" s="5"/>
      <c r="AD43" s="5"/>
    </row>
    <row r="44">
      <c r="A44" s="113">
        <v>2017.0</v>
      </c>
      <c r="B44" s="114">
        <f t="array" ref="B44">INDEX('Currency Conversion'!$C$4:$L$23, MATCH(C44, 'Currency Conversion'!$B$4:$B$23, 0), MATCH($E$16, 'Currency Conversion'!$C$3:$L$3, 0))</f>
        <v>1</v>
      </c>
      <c r="C44" s="115">
        <v>2017.0</v>
      </c>
      <c r="D44" s="116">
        <f t="shared" si="6"/>
        <v>40653000000</v>
      </c>
      <c r="E44" s="118">
        <f t="shared" si="29"/>
        <v>0.4709096172</v>
      </c>
      <c r="F44" s="116">
        <f t="shared" si="7"/>
        <v>20203000000</v>
      </c>
      <c r="G44" s="118">
        <f t="shared" si="8"/>
        <v>0.4969620938</v>
      </c>
      <c r="H44" s="116">
        <f t="shared" si="9"/>
        <v>24216000000</v>
      </c>
      <c r="I44" s="116">
        <f t="shared" si="10"/>
        <v>-6733000000</v>
      </c>
      <c r="J44" s="116">
        <f t="shared" si="11"/>
        <v>3723000000</v>
      </c>
      <c r="K44" s="116">
        <f t="shared" si="12"/>
        <v>27226000000</v>
      </c>
      <c r="L44" s="118">
        <f t="shared" si="13"/>
        <v>0.6697168721</v>
      </c>
      <c r="M44" s="116">
        <f t="shared" si="14"/>
        <v>-7739000000</v>
      </c>
      <c r="N44" s="119">
        <f t="shared" si="15"/>
        <v>-0.3830619215</v>
      </c>
      <c r="O44" s="116">
        <f t="shared" si="16"/>
        <v>2956000000</v>
      </c>
      <c r="P44" s="116">
        <f t="shared" si="17"/>
        <v>521157493380</v>
      </c>
      <c r="Q44" s="116">
        <f t="shared" si="18"/>
        <v>513418493380</v>
      </c>
      <c r="R44" s="118">
        <f t="shared" si="19"/>
        <v>0.05224140561</v>
      </c>
      <c r="S44" s="119">
        <f t="shared" si="20"/>
        <v>25.41298289</v>
      </c>
      <c r="T44" s="116">
        <f t="shared" si="21"/>
        <v>54242000000</v>
      </c>
      <c r="U44" s="82"/>
      <c r="V44" s="120">
        <f t="shared" si="22"/>
        <v>35199000000</v>
      </c>
      <c r="W44" s="121">
        <f t="shared" si="23"/>
        <v>0.8658401594</v>
      </c>
      <c r="X44" s="120">
        <f t="shared" si="24"/>
        <v>15920000000</v>
      </c>
      <c r="Y44" s="121">
        <f t="shared" si="25"/>
        <v>0.3916070155</v>
      </c>
      <c r="Z44" s="120">
        <f t="shared" si="26"/>
        <v>4283000000</v>
      </c>
      <c r="AA44" s="120">
        <f t="shared" si="27"/>
        <v>14996000000</v>
      </c>
      <c r="AB44" s="120">
        <f t="shared" si="28"/>
        <v>5454000000</v>
      </c>
      <c r="AC44" s="5"/>
      <c r="AD44" s="5"/>
    </row>
    <row r="45">
      <c r="A45" s="113">
        <v>2018.0</v>
      </c>
      <c r="B45" s="114">
        <f t="array" ref="B45">INDEX('Currency Conversion'!$C$4:$L$23, MATCH(C45, 'Currency Conversion'!$B$4:$B$23, 0), MATCH($E$16, 'Currency Conversion'!$C$3:$L$3, 0))</f>
        <v>1</v>
      </c>
      <c r="C45" s="115">
        <v>2018.0</v>
      </c>
      <c r="D45" s="116">
        <f t="shared" si="6"/>
        <v>55838000000</v>
      </c>
      <c r="E45" s="118">
        <f t="shared" si="29"/>
        <v>0.373527169</v>
      </c>
      <c r="F45" s="116">
        <f t="shared" si="7"/>
        <v>24913000000</v>
      </c>
      <c r="G45" s="118">
        <f t="shared" si="8"/>
        <v>0.4461656936</v>
      </c>
      <c r="H45" s="116">
        <f t="shared" si="9"/>
        <v>29274000000</v>
      </c>
      <c r="I45" s="116">
        <f t="shared" si="10"/>
        <v>-13915000000</v>
      </c>
      <c r="J45" s="116">
        <f t="shared" si="11"/>
        <v>4152000000</v>
      </c>
      <c r="K45" s="116">
        <f t="shared" si="12"/>
        <v>39037000000</v>
      </c>
      <c r="L45" s="118">
        <f t="shared" si="13"/>
        <v>0.699111716</v>
      </c>
      <c r="M45" s="116">
        <f t="shared" si="14"/>
        <v>-9519000000</v>
      </c>
      <c r="N45" s="119">
        <f t="shared" si="15"/>
        <v>-0.3820896721</v>
      </c>
      <c r="O45" s="116">
        <f t="shared" si="16"/>
        <v>2921000000</v>
      </c>
      <c r="P45" s="116">
        <f t="shared" si="17"/>
        <v>378850100000</v>
      </c>
      <c r="Q45" s="116">
        <f t="shared" si="18"/>
        <v>369331100000</v>
      </c>
      <c r="R45" s="118">
        <f t="shared" si="19"/>
        <v>0.1030407541</v>
      </c>
      <c r="S45" s="119">
        <f t="shared" si="20"/>
        <v>14.82483442</v>
      </c>
      <c r="T45" s="116">
        <f t="shared" si="21"/>
        <v>64532000000</v>
      </c>
      <c r="U45" s="82"/>
      <c r="V45" s="120">
        <f t="shared" si="22"/>
        <v>46483000000</v>
      </c>
      <c r="W45" s="121">
        <f t="shared" si="23"/>
        <v>0.8324617644</v>
      </c>
      <c r="X45" s="120">
        <f t="shared" si="24"/>
        <v>22112000000</v>
      </c>
      <c r="Y45" s="121">
        <f t="shared" si="25"/>
        <v>0.3960027222</v>
      </c>
      <c r="Z45" s="120">
        <f t="shared" si="26"/>
        <v>2801000000</v>
      </c>
      <c r="AA45" s="120">
        <f t="shared" si="27"/>
        <v>21570000000</v>
      </c>
      <c r="AB45" s="120">
        <f t="shared" si="28"/>
        <v>9355000000</v>
      </c>
      <c r="AC45" s="5"/>
      <c r="AD45" s="5"/>
    </row>
    <row r="46">
      <c r="A46" s="113">
        <v>2019.0</v>
      </c>
      <c r="B46" s="114">
        <f t="array" ref="B46">INDEX('Currency Conversion'!$C$4:$L$23, MATCH(C46, 'Currency Conversion'!$B$4:$B$23, 0), MATCH($E$16, 'Currency Conversion'!$C$3:$L$3, 0))</f>
        <v>1</v>
      </c>
      <c r="C46" s="115">
        <v>2019.0</v>
      </c>
      <c r="D46" s="116">
        <f t="shared" si="6"/>
        <v>70697000000</v>
      </c>
      <c r="E46" s="118">
        <f t="shared" si="29"/>
        <v>0.2661091013</v>
      </c>
      <c r="F46" s="116">
        <f t="shared" si="7"/>
        <v>23986000000</v>
      </c>
      <c r="G46" s="118">
        <f t="shared" si="8"/>
        <v>0.3392788944</v>
      </c>
      <c r="H46" s="116">
        <f t="shared" si="9"/>
        <v>36314000000</v>
      </c>
      <c r="I46" s="116">
        <f t="shared" si="10"/>
        <v>-15102000000</v>
      </c>
      <c r="J46" s="116">
        <f t="shared" si="11"/>
        <v>4836000000</v>
      </c>
      <c r="K46" s="116">
        <f t="shared" si="12"/>
        <v>46580000000</v>
      </c>
      <c r="L46" s="118">
        <f t="shared" si="13"/>
        <v>0.6588681274</v>
      </c>
      <c r="M46" s="116">
        <f t="shared" si="14"/>
        <v>-8478000000</v>
      </c>
      <c r="N46" s="119">
        <f t="shared" si="15"/>
        <v>-0.3534561828</v>
      </c>
      <c r="O46" s="116">
        <f t="shared" si="16"/>
        <v>2876000000</v>
      </c>
      <c r="P46" s="116">
        <f t="shared" si="17"/>
        <v>585783500000</v>
      </c>
      <c r="Q46" s="116">
        <f t="shared" si="18"/>
        <v>577305500000</v>
      </c>
      <c r="R46" s="118">
        <f t="shared" si="19"/>
        <v>0.07951743264</v>
      </c>
      <c r="S46" s="119">
        <f t="shared" si="20"/>
        <v>24.06843575</v>
      </c>
      <c r="T46" s="116">
        <f t="shared" si="21"/>
        <v>81445000000</v>
      </c>
      <c r="U46" s="82"/>
      <c r="V46" s="120">
        <f t="shared" si="22"/>
        <v>57927000000</v>
      </c>
      <c r="W46" s="121">
        <f t="shared" si="23"/>
        <v>0.8193699874</v>
      </c>
      <c r="X46" s="120">
        <f t="shared" si="24"/>
        <v>18485000000</v>
      </c>
      <c r="Y46" s="121">
        <f t="shared" si="25"/>
        <v>0.2614679548</v>
      </c>
      <c r="Z46" s="120">
        <f t="shared" si="26"/>
        <v>5501000000</v>
      </c>
      <c r="AA46" s="120">
        <f t="shared" si="27"/>
        <v>33941000000</v>
      </c>
      <c r="AB46" s="120">
        <f t="shared" si="28"/>
        <v>12770000000</v>
      </c>
      <c r="AC46" s="5"/>
      <c r="AD46" s="5"/>
    </row>
    <row r="47">
      <c r="A47" s="113">
        <v>2020.0</v>
      </c>
      <c r="B47" s="114">
        <f t="array" ref="B47">INDEX('Currency Conversion'!$C$4:$L$23, MATCH(C47, 'Currency Conversion'!$B$4:$B$23, 0), MATCH($E$16, 'Currency Conversion'!$C$3:$L$3, 0))</f>
        <v>1</v>
      </c>
      <c r="C47" s="115">
        <v>2020.0</v>
      </c>
      <c r="D47" s="116">
        <f t="shared" si="6"/>
        <v>85965000000</v>
      </c>
      <c r="E47" s="118">
        <f t="shared" si="29"/>
        <v>0.2159639023</v>
      </c>
      <c r="F47" s="116">
        <f t="shared" si="7"/>
        <v>32671000000</v>
      </c>
      <c r="G47" s="118">
        <f t="shared" si="8"/>
        <v>0.3800500204</v>
      </c>
      <c r="H47" s="116">
        <f t="shared" si="9"/>
        <v>38747000000</v>
      </c>
      <c r="I47" s="116">
        <f t="shared" si="10"/>
        <v>-15115000000</v>
      </c>
      <c r="J47" s="116">
        <f t="shared" si="11"/>
        <v>6536000000</v>
      </c>
      <c r="K47" s="116">
        <f t="shared" si="12"/>
        <v>47326000000</v>
      </c>
      <c r="L47" s="118">
        <f t="shared" si="13"/>
        <v>0.550526377</v>
      </c>
      <c r="M47" s="116">
        <f t="shared" si="14"/>
        <v>-6922000000</v>
      </c>
      <c r="N47" s="119">
        <f t="shared" si="15"/>
        <v>-0.211869854</v>
      </c>
      <c r="O47" s="116">
        <f t="shared" si="16"/>
        <v>2888000000</v>
      </c>
      <c r="P47" s="116">
        <f t="shared" si="17"/>
        <v>778779160000</v>
      </c>
      <c r="Q47" s="116">
        <f t="shared" si="18"/>
        <v>771857160000</v>
      </c>
      <c r="R47" s="118">
        <f t="shared" si="19"/>
        <v>0.06076947411</v>
      </c>
      <c r="S47" s="119">
        <f t="shared" si="20"/>
        <v>23.62514646</v>
      </c>
      <c r="T47" s="116">
        <f t="shared" si="21"/>
        <v>108617000000</v>
      </c>
      <c r="U47" s="82"/>
      <c r="V47" s="120">
        <f t="shared" si="22"/>
        <v>69273000000</v>
      </c>
      <c r="W47" s="121">
        <f t="shared" si="23"/>
        <v>0.8058279532</v>
      </c>
      <c r="X47" s="120">
        <f t="shared" si="24"/>
        <v>29146000000</v>
      </c>
      <c r="Y47" s="121">
        <f t="shared" si="25"/>
        <v>0.3390449602</v>
      </c>
      <c r="Z47" s="120">
        <f t="shared" si="26"/>
        <v>3525000000</v>
      </c>
      <c r="AA47" s="120">
        <f t="shared" si="27"/>
        <v>36602000000</v>
      </c>
      <c r="AB47" s="120">
        <f t="shared" si="28"/>
        <v>16692000000</v>
      </c>
      <c r="AC47" s="5"/>
      <c r="AD47" s="5"/>
    </row>
    <row r="48">
      <c r="A48" s="113">
        <v>2021.0</v>
      </c>
      <c r="B48" s="114">
        <f t="array" ref="B48">INDEX('Currency Conversion'!$C$4:$L$23, MATCH(C48, 'Currency Conversion'!$B$4:$B$23, 0), MATCH($E$16, 'Currency Conversion'!$C$3:$L$3, 0))</f>
        <v>1</v>
      </c>
      <c r="C48" s="115">
        <v>2021.0</v>
      </c>
      <c r="D48" s="116">
        <f t="shared" si="6"/>
        <v>117929000000</v>
      </c>
      <c r="E48" s="118">
        <f t="shared" si="29"/>
        <v>0.371825743</v>
      </c>
      <c r="F48" s="116">
        <f t="shared" si="7"/>
        <v>46753000000</v>
      </c>
      <c r="G48" s="118">
        <f t="shared" si="8"/>
        <v>0.3964504066</v>
      </c>
      <c r="H48" s="116">
        <f t="shared" si="9"/>
        <v>57683000000</v>
      </c>
      <c r="I48" s="116">
        <f t="shared" si="10"/>
        <v>-18567000000</v>
      </c>
      <c r="J48" s="116">
        <f t="shared" si="11"/>
        <v>9164000000</v>
      </c>
      <c r="K48" s="116">
        <f t="shared" si="12"/>
        <v>67086000000</v>
      </c>
      <c r="L48" s="118">
        <f t="shared" si="13"/>
        <v>0.5688677085</v>
      </c>
      <c r="M48" s="116">
        <f t="shared" si="14"/>
        <v>-2728000000</v>
      </c>
      <c r="N48" s="119">
        <f t="shared" si="15"/>
        <v>-0.05834919684</v>
      </c>
      <c r="O48" s="116">
        <f t="shared" si="16"/>
        <v>2859000000</v>
      </c>
      <c r="P48" s="116">
        <f t="shared" si="17"/>
        <v>946825250000</v>
      </c>
      <c r="Q48" s="116">
        <f t="shared" si="18"/>
        <v>944097250000</v>
      </c>
      <c r="R48" s="118">
        <f t="shared" si="19"/>
        <v>0.07085362373</v>
      </c>
      <c r="S48" s="119">
        <f t="shared" si="20"/>
        <v>20.19329776</v>
      </c>
      <c r="T48" s="116">
        <f t="shared" si="21"/>
        <v>105048000000</v>
      </c>
      <c r="U48" s="82"/>
      <c r="V48" s="120">
        <f t="shared" si="22"/>
        <v>95280000000</v>
      </c>
      <c r="W48" s="121">
        <f t="shared" si="23"/>
        <v>0.8079437628</v>
      </c>
      <c r="X48" s="120">
        <f t="shared" si="24"/>
        <v>39370000000</v>
      </c>
      <c r="Y48" s="121">
        <f t="shared" si="25"/>
        <v>0.3338449406</v>
      </c>
      <c r="Z48" s="120">
        <f t="shared" si="26"/>
        <v>7383000000</v>
      </c>
      <c r="AA48" s="120">
        <f t="shared" si="27"/>
        <v>48527000000</v>
      </c>
      <c r="AB48" s="120">
        <f t="shared" si="28"/>
        <v>22649000000</v>
      </c>
      <c r="AC48" s="5"/>
      <c r="AD48" s="5"/>
    </row>
    <row r="49">
      <c r="A49" s="113">
        <v>2022.0</v>
      </c>
      <c r="B49" s="114">
        <f t="array" ref="B49">INDEX('Currency Conversion'!$C$4:$L$23, MATCH(C49, 'Currency Conversion'!$B$4:$B$23, 0), MATCH($E$16, 'Currency Conversion'!$C$3:$L$3, 0))</f>
        <v>1</v>
      </c>
      <c r="C49" s="115">
        <v>2022.0</v>
      </c>
      <c r="D49" s="116">
        <f t="shared" si="6"/>
        <v>116609000000</v>
      </c>
      <c r="E49" s="118">
        <f t="shared" si="29"/>
        <v>-0.01119317555</v>
      </c>
      <c r="F49" s="116">
        <f t="shared" si="7"/>
        <v>28944000000</v>
      </c>
      <c r="G49" s="118">
        <f t="shared" si="8"/>
        <v>0.2482141173</v>
      </c>
      <c r="H49" s="116">
        <f t="shared" si="9"/>
        <v>50475000000</v>
      </c>
      <c r="I49" s="116">
        <f t="shared" si="10"/>
        <v>-31431000000</v>
      </c>
      <c r="J49" s="116">
        <f t="shared" si="11"/>
        <v>11992000000</v>
      </c>
      <c r="K49" s="116">
        <f t="shared" si="12"/>
        <v>69914000000</v>
      </c>
      <c r="L49" s="118">
        <f t="shared" si="13"/>
        <v>0.5995592107</v>
      </c>
      <c r="M49" s="116">
        <f t="shared" si="14"/>
        <v>11910000000</v>
      </c>
      <c r="N49" s="119">
        <f t="shared" si="15"/>
        <v>0.4114842454</v>
      </c>
      <c r="O49" s="116">
        <f t="shared" si="16"/>
        <v>2702000000</v>
      </c>
      <c r="P49" s="116">
        <f t="shared" si="17"/>
        <v>323353580000</v>
      </c>
      <c r="Q49" s="116">
        <f t="shared" si="18"/>
        <v>335263580000</v>
      </c>
      <c r="R49" s="118">
        <f t="shared" si="19"/>
        <v>0.2162153269</v>
      </c>
      <c r="S49" s="119">
        <f t="shared" si="20"/>
        <v>11.58318062</v>
      </c>
      <c r="T49" s="116">
        <f t="shared" si="21"/>
        <v>104510000000</v>
      </c>
      <c r="U49" s="82"/>
      <c r="V49" s="120">
        <f t="shared" si="22"/>
        <v>91360000000</v>
      </c>
      <c r="W49" s="121">
        <f t="shared" si="23"/>
        <v>0.7834729738</v>
      </c>
      <c r="X49" s="120">
        <f t="shared" si="24"/>
        <v>23200000000</v>
      </c>
      <c r="Y49" s="121">
        <f t="shared" si="25"/>
        <v>0.1989554837</v>
      </c>
      <c r="Z49" s="120">
        <f t="shared" si="26"/>
        <v>5744000000</v>
      </c>
      <c r="AA49" s="120">
        <f t="shared" si="27"/>
        <v>62416000000</v>
      </c>
      <c r="AB49" s="120">
        <f t="shared" si="28"/>
        <v>25249000000</v>
      </c>
      <c r="AC49" s="5"/>
      <c r="AD49" s="5"/>
    </row>
    <row r="50">
      <c r="A50" s="113">
        <v>2023.0</v>
      </c>
      <c r="B50" s="114">
        <f t="array" ref="B50">INDEX('Currency Conversion'!$C$4:$L$23, MATCH(C50, 'Currency Conversion'!$B$4:$B$23, 0), MATCH($E$16, 'Currency Conversion'!$C$3:$L$3, 0))</f>
        <v>1</v>
      </c>
      <c r="C50" s="122">
        <v>2023.0</v>
      </c>
      <c r="D50" s="116">
        <f t="shared" si="6"/>
        <v>134902000000</v>
      </c>
      <c r="E50" s="118">
        <f t="shared" si="29"/>
        <v>0.1568746838</v>
      </c>
      <c r="F50" s="116">
        <f t="shared" si="7"/>
        <v>46751000000</v>
      </c>
      <c r="G50" s="118">
        <f t="shared" si="8"/>
        <v>0.3465552772</v>
      </c>
      <c r="H50" s="116">
        <f t="shared" si="9"/>
        <v>71113000000</v>
      </c>
      <c r="I50" s="116">
        <f t="shared" si="10"/>
        <v>-27266000000</v>
      </c>
      <c r="J50" s="116">
        <f t="shared" si="11"/>
        <v>14027000000</v>
      </c>
      <c r="K50" s="116">
        <f t="shared" si="12"/>
        <v>84352000000</v>
      </c>
      <c r="L50" s="118">
        <f t="shared" si="13"/>
        <v>0.6252835392</v>
      </c>
      <c r="M50" s="116">
        <f t="shared" si="14"/>
        <v>-4628000000</v>
      </c>
      <c r="N50" s="119">
        <f t="shared" si="15"/>
        <v>-0.09899253492</v>
      </c>
      <c r="O50" s="116">
        <f t="shared" si="16"/>
        <v>2629000000</v>
      </c>
      <c r="P50" s="116">
        <f t="shared" si="17"/>
        <v>911093040000</v>
      </c>
      <c r="Q50" s="116">
        <f t="shared" si="18"/>
        <v>906465040000</v>
      </c>
      <c r="R50" s="118">
        <f t="shared" si="19"/>
        <v>0.09258329973</v>
      </c>
      <c r="S50" s="119">
        <f t="shared" si="20"/>
        <v>19.38921178</v>
      </c>
      <c r="T50" s="116">
        <f t="shared" si="21"/>
        <v>131726000000</v>
      </c>
      <c r="U50" s="82"/>
      <c r="V50" s="120">
        <f t="shared" si="22"/>
        <v>108943000000</v>
      </c>
      <c r="W50" s="121">
        <f t="shared" si="23"/>
        <v>0.8075714222</v>
      </c>
      <c r="X50" s="120">
        <f t="shared" si="24"/>
        <v>39098000000</v>
      </c>
      <c r="Y50" s="121">
        <f t="shared" si="25"/>
        <v>0.2898252064</v>
      </c>
      <c r="Z50" s="120">
        <f t="shared" si="26"/>
        <v>7653000000</v>
      </c>
      <c r="AA50" s="120">
        <f t="shared" si="27"/>
        <v>62192000000</v>
      </c>
      <c r="AB50" s="120">
        <f t="shared" si="28"/>
        <v>25959000000</v>
      </c>
      <c r="AC50" s="5"/>
      <c r="AD50" s="5"/>
    </row>
    <row r="51">
      <c r="A51" s="113">
        <v>2024.0</v>
      </c>
      <c r="B51" s="114">
        <f t="array" ref="B51">INDEX('Currency Conversion'!$C$4:$L$23, MATCH(C51, 'Currency Conversion'!$B$4:$B$23, 0), MATCH($E$16, 'Currency Conversion'!$C$3:$L$3, 0))</f>
        <v>1</v>
      </c>
      <c r="C51" s="115">
        <v>2024.0</v>
      </c>
      <c r="D51" s="116">
        <f t="shared" si="6"/>
        <v>164501000000</v>
      </c>
      <c r="E51" s="118">
        <f t="shared" si="29"/>
        <v>0.2194111281</v>
      </c>
      <c r="F51" s="116">
        <f t="shared" si="7"/>
        <v>69380000000</v>
      </c>
      <c r="G51" s="118">
        <f t="shared" si="8"/>
        <v>0.421760354</v>
      </c>
      <c r="H51" s="116">
        <f t="shared" si="9"/>
        <v>91328000000</v>
      </c>
      <c r="I51" s="116">
        <f t="shared" si="10"/>
        <v>-37256000000</v>
      </c>
      <c r="J51" s="116">
        <f t="shared" si="11"/>
        <v>16690000000</v>
      </c>
      <c r="K51" s="116">
        <f t="shared" si="12"/>
        <v>111894000000</v>
      </c>
      <c r="L51" s="118">
        <f t="shared" si="13"/>
        <v>0.680202552</v>
      </c>
      <c r="M51" s="116">
        <f t="shared" si="14"/>
        <v>5171000000</v>
      </c>
      <c r="N51" s="119">
        <f t="shared" si="15"/>
        <v>0.07453156529</v>
      </c>
      <c r="O51" s="116">
        <f t="shared" si="16"/>
        <v>2614000000</v>
      </c>
      <c r="P51" s="116">
        <f t="shared" si="17"/>
        <v>1483682340000</v>
      </c>
      <c r="Q51" s="116">
        <f t="shared" si="18"/>
        <v>1488853340000</v>
      </c>
      <c r="R51" s="118">
        <f t="shared" si="19"/>
        <v>0.07541641292</v>
      </c>
      <c r="S51" s="119">
        <f t="shared" si="20"/>
        <v>21.45940242</v>
      </c>
      <c r="T51" s="116">
        <f t="shared" si="21"/>
        <v>161068000000</v>
      </c>
      <c r="U51" s="82"/>
      <c r="V51" s="120">
        <f t="shared" si="22"/>
        <v>134340000000</v>
      </c>
      <c r="W51" s="121">
        <f t="shared" si="23"/>
        <v>0.8166515705</v>
      </c>
      <c r="X51" s="120">
        <f t="shared" si="24"/>
        <v>62360000000</v>
      </c>
      <c r="Y51" s="121">
        <f t="shared" si="25"/>
        <v>0.3790858414</v>
      </c>
      <c r="Z51" s="120">
        <f t="shared" si="26"/>
        <v>7020000000</v>
      </c>
      <c r="AA51" s="120">
        <f t="shared" si="27"/>
        <v>64960000000</v>
      </c>
      <c r="AB51" s="120">
        <f t="shared" si="28"/>
        <v>30161000000</v>
      </c>
      <c r="AC51" s="5"/>
      <c r="AD51" s="5"/>
    </row>
    <row r="52">
      <c r="A52" s="113">
        <v>2024.0</v>
      </c>
      <c r="B52" s="114">
        <f t="array" ref="B52">INDEX('Currency Conversion'!$C$4:$L$23, MATCH(C52, 'Currency Conversion'!$B$4:$B$23, 0), MATCH($E$16, 'Currency Conversion'!$C$3:$L$3, 0))</f>
        <v>1</v>
      </c>
      <c r="C52" s="122">
        <v>2025.0</v>
      </c>
      <c r="D52" s="116">
        <f t="shared" si="6"/>
        <v>200966000000</v>
      </c>
      <c r="E52" s="118">
        <f t="shared" si="29"/>
        <v>0.221670385</v>
      </c>
      <c r="F52" s="116">
        <f t="shared" si="7"/>
        <v>83276000000</v>
      </c>
      <c r="G52" s="118">
        <f t="shared" si="8"/>
        <v>0.4143785516</v>
      </c>
      <c r="H52" s="116">
        <f t="shared" si="9"/>
        <v>115800000000</v>
      </c>
      <c r="I52" s="116">
        <f t="shared" si="10"/>
        <v>-69691000000</v>
      </c>
      <c r="J52" s="116">
        <f t="shared" si="11"/>
        <v>20427000000</v>
      </c>
      <c r="K52" s="116">
        <f t="shared" si="12"/>
        <v>165064000000</v>
      </c>
      <c r="L52" s="118">
        <f t="shared" si="13"/>
        <v>0.8213528657</v>
      </c>
      <c r="M52" s="116">
        <f t="shared" si="14"/>
        <v>48024000000</v>
      </c>
      <c r="N52" s="119">
        <f t="shared" si="15"/>
        <v>0.5766847591</v>
      </c>
      <c r="O52" s="116">
        <f t="shared" si="16"/>
        <v>2574000000</v>
      </c>
      <c r="P52" s="116">
        <f t="shared" si="17"/>
        <v>1664086890000</v>
      </c>
      <c r="Q52" s="116">
        <f t="shared" si="18"/>
        <v>1712110890000</v>
      </c>
      <c r="R52" s="118">
        <f t="shared" si="19"/>
        <v>0.09919193582</v>
      </c>
      <c r="S52" s="119">
        <f t="shared" si="20"/>
        <v>20.5594756</v>
      </c>
      <c r="T52" s="116">
        <f t="shared" si="21"/>
        <v>192709000000</v>
      </c>
      <c r="U52" s="82"/>
      <c r="V52" s="120">
        <f t="shared" si="22"/>
        <v>164791000000</v>
      </c>
      <c r="W52" s="121">
        <f t="shared" si="23"/>
        <v>0.8199944269</v>
      </c>
      <c r="X52" s="120">
        <f t="shared" si="24"/>
        <v>60458000000</v>
      </c>
      <c r="Y52" s="121">
        <f t="shared" si="25"/>
        <v>0.3008369575</v>
      </c>
      <c r="Z52" s="120">
        <f t="shared" si="26"/>
        <v>22818000000</v>
      </c>
      <c r="AA52" s="120">
        <f t="shared" si="27"/>
        <v>81515000000</v>
      </c>
      <c r="AB52" s="120">
        <f t="shared" si="28"/>
        <v>36175000000</v>
      </c>
      <c r="AC52" s="5"/>
      <c r="AD52" s="5"/>
    </row>
    <row r="53">
      <c r="A53" s="113">
        <v>2025.0</v>
      </c>
      <c r="B53" s="114">
        <f t="array" ref="B53">INDEX('Currency Conversion'!$C$4:$L$23, MATCH(C53, 'Currency Conversion'!$B$4:$B$23, 0), MATCH($E$16, 'Currency Conversion'!$C$3:$L$3, 0))</f>
        <v>1</v>
      </c>
      <c r="C53" s="115" t="s">
        <v>52</v>
      </c>
      <c r="D53" s="116">
        <f t="shared" si="6"/>
        <v>200966000000</v>
      </c>
      <c r="E53" s="118">
        <f>iferror(D53/D51-1,"")</f>
        <v>0.221670385</v>
      </c>
      <c r="F53" s="116">
        <f t="shared" si="7"/>
        <v>83276000000</v>
      </c>
      <c r="G53" s="118">
        <f t="shared" si="8"/>
        <v>0.4143785516</v>
      </c>
      <c r="H53" s="116">
        <f t="shared" si="9"/>
        <v>115800000000</v>
      </c>
      <c r="I53" s="116">
        <f t="shared" si="10"/>
        <v>-69691000000</v>
      </c>
      <c r="J53" s="116">
        <f t="shared" si="11"/>
        <v>20427000000</v>
      </c>
      <c r="K53" s="116">
        <f t="shared" si="12"/>
        <v>165064000000</v>
      </c>
      <c r="L53" s="118">
        <f t="shared" si="13"/>
        <v>0.8213528657</v>
      </c>
      <c r="M53" s="116">
        <f t="shared" si="14"/>
        <v>48024000000</v>
      </c>
      <c r="N53" s="119">
        <f t="shared" si="15"/>
        <v>0.5766847591</v>
      </c>
      <c r="O53" s="116">
        <f>IFERROR(__xludf.DUMMYFUNCTION("IF($C$3=""Static"", O52, GOOGLEFINANCE($C$5,""shares""))"),2.574E9)</f>
        <v>2574000000</v>
      </c>
      <c r="P53" s="116">
        <f>IFERROR(__xludf.DUMMYFUNCTION("IF($C$3=""Static"", P52, GOOGLEFINANCE($C$5,""marketcap""))"),1.66408689E12)</f>
        <v>1664086890000</v>
      </c>
      <c r="Q53" s="116">
        <f>P53+M53</f>
        <v>1712110890000</v>
      </c>
      <c r="R53" s="118">
        <f t="shared" si="19"/>
        <v>0.09919193582</v>
      </c>
      <c r="S53" s="119">
        <f t="shared" si="20"/>
        <v>20.5594756</v>
      </c>
      <c r="T53" s="116">
        <f t="shared" si="21"/>
        <v>192709000000</v>
      </c>
      <c r="U53" s="82"/>
      <c r="V53" s="120">
        <f t="shared" si="22"/>
        <v>164791000000</v>
      </c>
      <c r="W53" s="121">
        <f t="shared" si="23"/>
        <v>0.8199944269</v>
      </c>
      <c r="X53" s="120">
        <f t="shared" si="24"/>
        <v>60458000000</v>
      </c>
      <c r="Y53" s="121">
        <f t="shared" si="25"/>
        <v>0.3008369575</v>
      </c>
      <c r="Z53" s="120">
        <f t="shared" si="26"/>
        <v>22818000000</v>
      </c>
      <c r="AA53" s="120">
        <f t="shared" si="27"/>
        <v>81515000000</v>
      </c>
      <c r="AB53" s="120">
        <f t="shared" si="28"/>
        <v>36175000000</v>
      </c>
      <c r="AC53" s="123" t="str">
        <f>IFERROR(__xludf.DUMMYFUNCTION("IF($C$3=""Load"",GOOGLEFINANCE(C4,""price"",today()-7*365,today(),""weekly""),Arrayformula(AC53:AD449))"),"Date")</f>
        <v>Date</v>
      </c>
      <c r="AD53" s="124" t="str">
        <f>IFERROR(__xludf.DUMMYFUNCTION("""COMPUTED_VALUE"""),"Close")</f>
        <v>Close</v>
      </c>
    </row>
    <row r="54">
      <c r="A54" s="1"/>
      <c r="B54" s="1"/>
      <c r="C54" s="125" t="s">
        <v>53</v>
      </c>
      <c r="D54" s="126">
        <f>iferror((D51/D43)^(1/8)-1,"")</f>
        <v>0.2497776137</v>
      </c>
      <c r="E54" s="127">
        <f>iferror(AVERAGE(E50:E53),"")</f>
        <v>0.2049066455</v>
      </c>
      <c r="F54" s="126">
        <f>iferror((F51/F43)^(1/8)-1,"")</f>
        <v>0.2398196055</v>
      </c>
      <c r="G54" s="127">
        <f>iferror(AVERAGE(G50:G53),"")</f>
        <v>0.3992681836</v>
      </c>
      <c r="H54" s="126">
        <f t="shared" ref="H54:K54" si="30">iferror((H51/H43)^(1/8)-1,"")</f>
        <v>0.2422107714</v>
      </c>
      <c r="I54" s="126">
        <f t="shared" si="30"/>
        <v>0.3027366946</v>
      </c>
      <c r="J54" s="126">
        <f t="shared" si="30"/>
        <v>0.2284536842</v>
      </c>
      <c r="K54" s="126">
        <f t="shared" si="30"/>
        <v>0.2620934271</v>
      </c>
      <c r="L54" s="127">
        <f>iferror(AVERAGE(L50:L53),"")</f>
        <v>0.7370479556</v>
      </c>
      <c r="M54" s="126" t="str">
        <f>iferror((M51/M41)^(1/10)-1,"")</f>
        <v/>
      </c>
      <c r="N54" s="128">
        <f>iferror(AVERAGE(N41:N53),"")</f>
        <v>-0.1630699607</v>
      </c>
      <c r="O54" s="126">
        <f t="shared" ref="O54:Q54" si="31">iferror((O51/O41)^(1/10)-1,"")</f>
        <v>-0.001892919911</v>
      </c>
      <c r="P54" s="126">
        <f t="shared" si="31"/>
        <v>0.2178174479</v>
      </c>
      <c r="Q54" s="126">
        <f t="shared" si="31"/>
        <v>0.2206725455</v>
      </c>
      <c r="R54" s="126">
        <f t="shared" ref="R54:S54" si="32">iferror(TRIMMEAN(R41:R53,0.4),"")</f>
        <v>0.07572906379</v>
      </c>
      <c r="S54" s="129">
        <f t="shared" si="32"/>
        <v>22.3948878</v>
      </c>
      <c r="T54" s="126">
        <f>iferror((T51/T41)^(1/10)-1,"")</f>
        <v>0.2750139342</v>
      </c>
      <c r="U54" s="82"/>
      <c r="V54" s="130"/>
      <c r="W54" s="131"/>
      <c r="X54" s="131"/>
      <c r="Y54" s="131"/>
      <c r="Z54" s="95"/>
      <c r="AA54" s="5"/>
      <c r="AB54" s="5"/>
      <c r="AC54" s="132">
        <f>IFERROR(__xludf.DUMMYFUNCTION("""COMPUTED_VALUE"""),43532.66666666667)</f>
        <v>43532.66667</v>
      </c>
      <c r="AD54" s="133">
        <f>IFERROR(__xludf.DUMMYFUNCTION("""COMPUTED_VALUE"""),169.6)</f>
        <v>169.6</v>
      </c>
    </row>
    <row r="55" ht="20.25" customHeight="1">
      <c r="A55" s="1"/>
      <c r="B55" s="1"/>
      <c r="C55" s="1"/>
      <c r="D55" s="134" t="str">
        <f>IFERROR(__xludf.DUMMYFUNCTION("sparkline(D43:D53,{""charttype"",""column"";""color"",""0044CC"";""ymin"",min(D43:D53,0);""lastcolor"",""red""})"),"")</f>
        <v/>
      </c>
      <c r="E55" s="134" t="str">
        <f>IFERROR(__xludf.DUMMYFUNCTION("sparkline(E43:E53,{""charttype"",""column"";""color"",""0044CC"";""ymin"",min(E43:E53,0);""lastcolor"",""red""})"),"")</f>
        <v/>
      </c>
      <c r="F55" s="134" t="str">
        <f>IFERROR(__xludf.DUMMYFUNCTION("sparkline(F43:F53,{""charttype"",""column"";""color"",""0044CC"";""ymin"",min(F43:F53,0);""lastcolor"",""red""})"),"")</f>
        <v/>
      </c>
      <c r="G55" s="134" t="str">
        <f>IFERROR(__xludf.DUMMYFUNCTION("sparkline(G43:G53,{""charttype"",""column"";""color"",""0044CC"";""ymin"",min(G43:G53,0);""lastcolor"",""red""})"),"")</f>
        <v/>
      </c>
      <c r="H55" s="134" t="str">
        <f>IFERROR(__xludf.DUMMYFUNCTION("sparkline(H43:H53,{""charttype"",""column"";""color"",""0044CC"";""ymin"",min(H43:H53,0);""lastcolor"",""red""})"),"")</f>
        <v/>
      </c>
      <c r="I55" s="134" t="str">
        <f>IFERROR(__xludf.DUMMYFUNCTION("sparkline(I43:I53,{""charttype"",""column"";""color"",""0044CC"";""ymin"",min(I43:I53,0);""lastcolor"",""red""})"),"")</f>
        <v/>
      </c>
      <c r="J55" s="134" t="str">
        <f>IFERROR(__xludf.DUMMYFUNCTION("sparkline(J43:J53,{""charttype"",""column"";""color"",""0044CC"";""ymin"",min(J43:J53,0);""lastcolor"",""red""})"),"")</f>
        <v/>
      </c>
      <c r="K55" s="134" t="str">
        <f>IFERROR(__xludf.DUMMYFUNCTION("sparkline(K43:K53,{""charttype"",""column"";""color"",""0044CC"";""ymin"",min(K43:K53,0);""lastcolor"",""red""})"),"")</f>
        <v/>
      </c>
      <c r="L55" s="134" t="str">
        <f>IFERROR(__xludf.DUMMYFUNCTION("sparkline(L43:L53,{""charttype"",""column"";""color"",""0044CC"";""ymin"",min(L43:L53,0);""lastcolor"",""red""})"),"")</f>
        <v/>
      </c>
      <c r="M55" s="134" t="str">
        <f>IFERROR(__xludf.DUMMYFUNCTION("sparkline(M43:M53,{""charttype"",""column"";""color"",""0044CC"";""ymin"",min(M43:M53,0);""lastcolor"",""red""})"),"")</f>
        <v/>
      </c>
      <c r="N55" s="134" t="str">
        <f>IFERROR(__xludf.DUMMYFUNCTION("sparkline(N43:N53,{""charttype"",""column"";""color"",""0044CC"";""ymin"",min(N43:N53,0);""lastcolor"",""red""})"),"")</f>
        <v/>
      </c>
      <c r="O55" s="134" t="str">
        <f>IFERROR(__xludf.DUMMYFUNCTION("sparkline(O43:O53,{""charttype"",""column"";""color"",""0044CC"";""ymin"",min(O43:O53,0);""lastcolor"",""red""})"),"")</f>
        <v/>
      </c>
      <c r="P55" s="134" t="str">
        <f>IFERROR(__xludf.DUMMYFUNCTION("sparkline(P43:P53,{""charttype"",""column"";""color"",""0044CC"";""ymin"",min(P43:P53,0);""lastcolor"",""red""})"),"")</f>
        <v/>
      </c>
      <c r="Q55" s="134" t="str">
        <f>IFERROR(__xludf.DUMMYFUNCTION("sparkline(Q43:Q53,{""charttype"",""column"";""color"",""0044CC"";""ymin"",min(Q43:Q53,0);""lastcolor"",""red""})"),"")</f>
        <v/>
      </c>
      <c r="R55" s="134" t="str">
        <f>IFERROR(__xludf.DUMMYFUNCTION("sparkline(R43:R53,{""charttype"",""column"";""color"",""0044CC"";""ymin"",min(R43:R53,0);""lastcolor"",""red""})"),"")</f>
        <v/>
      </c>
      <c r="S55" s="134" t="str">
        <f>IFERROR(__xludf.DUMMYFUNCTION("sparkline(S43:S53,{""charttype"",""column"";""color"",""0044CC"";""ymin"",min(S43:S53,0);""lastcolor"",""red""})"),"")</f>
        <v/>
      </c>
      <c r="T55" s="134" t="str">
        <f>IFERROR(__xludf.DUMMYFUNCTION("sparkline(T43:T53,{""charttype"",""column"";""color"",""0044CC"";""ymin"",min(T43:T53,0);""lastcolor"",""red""})"),"")</f>
        <v/>
      </c>
      <c r="U55" s="82"/>
      <c r="V55" s="5"/>
      <c r="W55" s="5"/>
      <c r="X55" s="5"/>
      <c r="Y55" s="5"/>
      <c r="Z55" s="95"/>
      <c r="AA55" s="5"/>
      <c r="AB55" s="5"/>
      <c r="AC55" s="132">
        <f>IFERROR(__xludf.DUMMYFUNCTION("""COMPUTED_VALUE"""),43539.66666666667)</f>
        <v>43539.66667</v>
      </c>
      <c r="AD55" s="133">
        <f>IFERROR(__xludf.DUMMYFUNCTION("""COMPUTED_VALUE"""),165.98)</f>
        <v>165.98</v>
      </c>
    </row>
    <row r="56" ht="20.25" customHeight="1">
      <c r="A56" s="1"/>
      <c r="B56" s="1"/>
      <c r="C56" s="1"/>
      <c r="D56" s="136"/>
      <c r="E56" s="136"/>
      <c r="F56" s="136"/>
      <c r="G56" s="136"/>
      <c r="H56" s="136"/>
      <c r="I56" s="136"/>
      <c r="J56" s="136"/>
      <c r="K56" s="136"/>
      <c r="L56" s="136"/>
      <c r="M56" s="136"/>
      <c r="N56" s="136"/>
      <c r="O56" s="136"/>
      <c r="P56" s="136"/>
      <c r="Q56" s="136"/>
      <c r="R56" s="136"/>
      <c r="S56" s="136"/>
      <c r="T56" s="136"/>
      <c r="U56" s="82"/>
      <c r="V56" s="5"/>
      <c r="W56" s="5"/>
      <c r="X56" s="5"/>
      <c r="Y56" s="5"/>
      <c r="Z56" s="95"/>
      <c r="AA56" s="5"/>
      <c r="AB56" s="5"/>
      <c r="AC56" s="132">
        <f>IFERROR(__xludf.DUMMYFUNCTION("""COMPUTED_VALUE"""),43546.66666666667)</f>
        <v>43546.66667</v>
      </c>
      <c r="AD56" s="133">
        <f>IFERROR(__xludf.DUMMYFUNCTION("""COMPUTED_VALUE"""),164.34)</f>
        <v>164.34</v>
      </c>
    </row>
    <row r="57" ht="20.25" customHeight="1">
      <c r="A57" s="1"/>
      <c r="B57" s="1"/>
      <c r="C57" s="1"/>
      <c r="D57" s="136"/>
      <c r="E57" s="136"/>
      <c r="F57" s="136"/>
      <c r="G57" s="136"/>
      <c r="H57" s="136"/>
      <c r="I57" s="136"/>
      <c r="J57" s="136"/>
      <c r="K57" s="136"/>
      <c r="L57" s="136"/>
      <c r="M57" s="136"/>
      <c r="N57" s="136"/>
      <c r="O57" s="136"/>
      <c r="P57" s="136"/>
      <c r="Q57" s="136"/>
      <c r="R57" s="136"/>
      <c r="S57" s="136"/>
      <c r="T57" s="136"/>
      <c r="U57" s="82"/>
      <c r="V57" s="5"/>
      <c r="W57" s="5"/>
      <c r="X57" s="5"/>
      <c r="Y57" s="5"/>
      <c r="Z57" s="95"/>
      <c r="AA57" s="5"/>
      <c r="AB57" s="5"/>
      <c r="AC57" s="132">
        <f>IFERROR(__xludf.DUMMYFUNCTION("""COMPUTED_VALUE"""),43553.66666666667)</f>
        <v>43553.66667</v>
      </c>
      <c r="AD57" s="133">
        <f>IFERROR(__xludf.DUMMYFUNCTION("""COMPUTED_VALUE"""),166.69)</f>
        <v>166.69</v>
      </c>
    </row>
    <row r="58" ht="20.25" customHeight="1">
      <c r="A58" s="1"/>
      <c r="B58" s="1"/>
      <c r="C58" s="1"/>
      <c r="D58" s="137"/>
      <c r="E58" s="137"/>
      <c r="F58" s="137"/>
      <c r="G58" s="137"/>
      <c r="H58" s="137"/>
      <c r="I58" s="137"/>
      <c r="J58" s="137"/>
      <c r="K58" s="137"/>
      <c r="L58" s="137"/>
      <c r="M58" s="137"/>
      <c r="N58" s="137"/>
      <c r="O58" s="137"/>
      <c r="P58" s="137"/>
      <c r="Q58" s="137"/>
      <c r="R58" s="137"/>
      <c r="S58" s="137"/>
      <c r="T58" s="137"/>
      <c r="U58" s="82"/>
      <c r="V58" s="5"/>
      <c r="W58" s="5"/>
      <c r="X58" s="5"/>
      <c r="Y58" s="5"/>
      <c r="Z58" s="95"/>
      <c r="AA58" s="5"/>
      <c r="AB58" s="5"/>
      <c r="AC58" s="132">
        <f>IFERROR(__xludf.DUMMYFUNCTION("""COMPUTED_VALUE"""),43560.66666666667)</f>
        <v>43560.66667</v>
      </c>
      <c r="AD58" s="133">
        <f>IFERROR(__xludf.DUMMYFUNCTION("""COMPUTED_VALUE"""),175.72)</f>
        <v>175.72</v>
      </c>
    </row>
    <row r="59">
      <c r="A59" s="1"/>
      <c r="B59" s="1"/>
      <c r="C59" s="1"/>
      <c r="D59" s="1"/>
      <c r="E59" s="1"/>
      <c r="F59" s="1"/>
      <c r="G59" s="1"/>
      <c r="H59" s="1"/>
      <c r="I59" s="1"/>
      <c r="J59" s="1"/>
      <c r="K59" s="1"/>
      <c r="L59" s="1"/>
      <c r="M59" s="24"/>
      <c r="N59" s="1"/>
      <c r="O59" s="1"/>
      <c r="P59" s="1"/>
      <c r="Q59" s="1"/>
      <c r="R59" s="1"/>
      <c r="S59" s="1"/>
      <c r="T59" s="1"/>
      <c r="U59" s="5"/>
      <c r="V59" s="5"/>
      <c r="W59" s="5"/>
      <c r="X59" s="5"/>
      <c r="Y59" s="5"/>
      <c r="Z59" s="5"/>
      <c r="AA59" s="5"/>
      <c r="AB59" s="5"/>
      <c r="AC59" s="132">
        <f>IFERROR(__xludf.DUMMYFUNCTION("""COMPUTED_VALUE"""),43567.66666666667)</f>
        <v>43567.66667</v>
      </c>
      <c r="AD59" s="133">
        <f>IFERROR(__xludf.DUMMYFUNCTION("""COMPUTED_VALUE"""),179.1)</f>
        <v>179.1</v>
      </c>
    </row>
    <row r="60">
      <c r="A60" s="1"/>
      <c r="B60" s="1"/>
      <c r="C60" s="138" t="s">
        <v>54</v>
      </c>
      <c r="D60" s="3"/>
      <c r="E60" s="3"/>
      <c r="F60" s="3"/>
      <c r="G60" s="3"/>
      <c r="H60" s="3"/>
      <c r="I60" s="3"/>
      <c r="J60" s="3"/>
      <c r="K60" s="3"/>
      <c r="L60" s="3"/>
      <c r="M60" s="3"/>
      <c r="N60" s="3"/>
      <c r="O60" s="3"/>
      <c r="P60" s="3"/>
      <c r="Q60" s="3"/>
      <c r="R60" s="3"/>
      <c r="S60" s="3"/>
      <c r="T60" s="4"/>
      <c r="U60" s="5"/>
      <c r="V60" s="5"/>
      <c r="W60" s="5"/>
      <c r="X60" s="6"/>
      <c r="Y60" s="6"/>
      <c r="Z60" s="6"/>
      <c r="AA60" s="6"/>
      <c r="AB60" s="5"/>
      <c r="AC60" s="132">
        <f>IFERROR(__xludf.DUMMYFUNCTION("""COMPUTED_VALUE"""),43573.66666666667)</f>
        <v>43573.66667</v>
      </c>
      <c r="AD60" s="133">
        <f>IFERROR(__xludf.DUMMYFUNCTION("""COMPUTED_VALUE"""),178.28)</f>
        <v>178.28</v>
      </c>
    </row>
    <row r="61">
      <c r="A61" s="1"/>
      <c r="B61" s="1"/>
      <c r="C61" s="139"/>
      <c r="D61" s="140" t="s">
        <v>55</v>
      </c>
      <c r="E61" s="141" t="s">
        <v>56</v>
      </c>
      <c r="F61" s="141" t="s">
        <v>31</v>
      </c>
      <c r="G61" s="141" t="s">
        <v>24</v>
      </c>
      <c r="H61" s="141" t="s">
        <v>36</v>
      </c>
      <c r="I61" s="141" t="s">
        <v>57</v>
      </c>
      <c r="J61" s="142" t="s">
        <v>58</v>
      </c>
      <c r="K61" s="143" t="s">
        <v>59</v>
      </c>
      <c r="L61" s="75"/>
      <c r="M61" s="75"/>
      <c r="N61" s="144">
        <f>S53</f>
        <v>20.5594756</v>
      </c>
      <c r="O61" s="145"/>
      <c r="P61" s="146" t="s">
        <v>8</v>
      </c>
      <c r="Q61" s="190">
        <f t="array" ref="Q61">if(countif(G63:H67,"=0")=10,"NA",IRR({-1*P$53,I63,I64,I65,I66,I67+N65}))</f>
        <v>0.3408016508</v>
      </c>
      <c r="R61" s="148">
        <f>IFERROR(Q61-0.03,)</f>
        <v>0.3108016508</v>
      </c>
      <c r="S61" s="149" t="s">
        <v>60</v>
      </c>
      <c r="T61" s="150">
        <f>IFERROR(Q61+0.02,)</f>
        <v>0.3608016508</v>
      </c>
      <c r="U61" s="5"/>
      <c r="V61" s="151" t="s">
        <v>61</v>
      </c>
      <c r="W61" s="5"/>
      <c r="X61" s="6"/>
      <c r="Y61" s="6"/>
      <c r="Z61" s="6"/>
      <c r="AA61" s="6"/>
      <c r="AB61" s="5"/>
      <c r="AC61" s="132">
        <f>IFERROR(__xludf.DUMMYFUNCTION("""COMPUTED_VALUE"""),43581.66666666667)</f>
        <v>43581.66667</v>
      </c>
      <c r="AD61" s="133">
        <f>IFERROR(__xludf.DUMMYFUNCTION("""COMPUTED_VALUE"""),191.49)</f>
        <v>191.49</v>
      </c>
    </row>
    <row r="62">
      <c r="A62" s="1"/>
      <c r="B62" s="1"/>
      <c r="C62" s="137"/>
      <c r="D62" s="152"/>
      <c r="E62" s="86"/>
      <c r="F62" s="86"/>
      <c r="G62" s="86"/>
      <c r="I62" s="86"/>
      <c r="J62" s="87"/>
      <c r="K62" s="69" t="s">
        <v>62</v>
      </c>
      <c r="N62" s="153">
        <f>F67*N61</f>
        <v>4545313881942</v>
      </c>
      <c r="O62" s="1"/>
      <c r="Q62" s="47"/>
      <c r="R62" s="154" t="s">
        <v>11</v>
      </c>
      <c r="T62" s="47"/>
      <c r="U62" s="5"/>
      <c r="V62" s="5"/>
      <c r="W62" s="5"/>
      <c r="X62" s="6"/>
      <c r="Y62" s="6"/>
      <c r="Z62" s="155"/>
      <c r="AA62" s="6"/>
      <c r="AB62" s="5"/>
      <c r="AC62" s="132">
        <f>IFERROR(__xludf.DUMMYFUNCTION("""COMPUTED_VALUE"""),43588.66666666667)</f>
        <v>43588.66667</v>
      </c>
      <c r="AD62" s="133">
        <f>IFERROR(__xludf.DUMMYFUNCTION("""COMPUTED_VALUE"""),195.47)</f>
        <v>195.47</v>
      </c>
    </row>
    <row r="63">
      <c r="A63" s="1"/>
      <c r="B63" s="1"/>
      <c r="C63" s="156">
        <v>2026.0</v>
      </c>
      <c r="D63" s="157">
        <f>D$53*(1+E63)</f>
        <v>245514210588</v>
      </c>
      <c r="E63" s="158">
        <f>E52</f>
        <v>0.221670385</v>
      </c>
      <c r="F63" s="157">
        <f t="shared" ref="F63:F67" si="33">G63*D63</f>
        <v>101735822980</v>
      </c>
      <c r="G63" s="158">
        <f>G53</f>
        <v>0.4143785516</v>
      </c>
      <c r="H63" s="159">
        <f>L52</f>
        <v>0.8213528657</v>
      </c>
      <c r="I63" s="157">
        <f t="shared" ref="I63:I67" si="35">H63*D63</f>
        <v>201653800427</v>
      </c>
      <c r="J63" s="160">
        <f t="shared" ref="J63:J67" si="36">I63/(1+N$66)^(C63-C$63+1)</f>
        <v>183321636752</v>
      </c>
      <c r="K63" s="41" t="s">
        <v>37</v>
      </c>
      <c r="N63" s="153">
        <f>M$53</f>
        <v>48024000000</v>
      </c>
      <c r="O63" s="1"/>
      <c r="P63" s="161" t="s">
        <v>63</v>
      </c>
      <c r="Q63" s="162">
        <f>if(Q61="NA","-",(N67/P$53)*I$6)</f>
        <v>1490.075108</v>
      </c>
      <c r="R63" s="154"/>
      <c r="S63" s="154"/>
      <c r="T63" s="163"/>
      <c r="U63" s="5"/>
      <c r="V63" s="5"/>
      <c r="W63" s="5"/>
      <c r="X63" s="6"/>
      <c r="Y63" s="6"/>
      <c r="Z63" s="155"/>
      <c r="AA63" s="6"/>
      <c r="AB63" s="5"/>
      <c r="AC63" s="132">
        <f>IFERROR(__xludf.DUMMYFUNCTION("""COMPUTED_VALUE"""),43595.66666666667)</f>
        <v>43595.66667</v>
      </c>
      <c r="AD63" s="133">
        <f>IFERROR(__xludf.DUMMYFUNCTION("""COMPUTED_VALUE"""),188.34)</f>
        <v>188.34</v>
      </c>
    </row>
    <row r="64">
      <c r="A64" s="1"/>
      <c r="B64" s="1"/>
      <c r="C64" s="164">
        <f t="shared" ref="C64:C67" si="37">C63+1</f>
        <v>2027</v>
      </c>
      <c r="D64" s="157">
        <f t="shared" ref="D64:D67" si="38">D63*(1+E64)</f>
        <v>299937440168</v>
      </c>
      <c r="E64" s="165">
        <f t="shared" ref="E64:E65" si="39">E63</f>
        <v>0.221670385</v>
      </c>
      <c r="F64" s="166">
        <f t="shared" si="33"/>
        <v>124287642026</v>
      </c>
      <c r="G64" s="167">
        <f t="shared" ref="G64:H64" si="34">G63</f>
        <v>0.4143785516</v>
      </c>
      <c r="H64" s="165">
        <f t="shared" si="34"/>
        <v>0.8213528657</v>
      </c>
      <c r="I64" s="157">
        <f t="shared" si="35"/>
        <v>246354476001</v>
      </c>
      <c r="J64" s="160">
        <f t="shared" si="36"/>
        <v>203598740496</v>
      </c>
      <c r="K64" s="41" t="s">
        <v>64</v>
      </c>
      <c r="N64" s="168">
        <v>0.0</v>
      </c>
      <c r="O64" s="1"/>
      <c r="Q64" s="47"/>
      <c r="R64" s="169">
        <f>IFERROR(Q63-(Q63*0.05),)</f>
        <v>1415.571353</v>
      </c>
      <c r="S64" s="149" t="s">
        <v>60</v>
      </c>
      <c r="T64" s="170">
        <f>IFERROR(Q63+(Q63*0.05),)</f>
        <v>1564.578863</v>
      </c>
      <c r="U64" s="5"/>
      <c r="V64" s="5"/>
      <c r="W64" s="5"/>
      <c r="X64" s="6"/>
      <c r="Y64" s="6"/>
      <c r="Z64" s="155"/>
      <c r="AA64" s="6"/>
      <c r="AB64" s="5"/>
      <c r="AC64" s="132">
        <f>IFERROR(__xludf.DUMMYFUNCTION("""COMPUTED_VALUE"""),43602.66666666667)</f>
        <v>43602.66667</v>
      </c>
      <c r="AD64" s="133">
        <f>IFERROR(__xludf.DUMMYFUNCTION("""COMPUTED_VALUE"""),185.3)</f>
        <v>185.3</v>
      </c>
    </row>
    <row r="65">
      <c r="A65" s="1"/>
      <c r="B65" s="1"/>
      <c r="C65" s="164">
        <f t="shared" si="37"/>
        <v>2028</v>
      </c>
      <c r="D65" s="157">
        <f t="shared" si="38"/>
        <v>366424688001</v>
      </c>
      <c r="E65" s="165">
        <f t="shared" si="39"/>
        <v>0.221670385</v>
      </c>
      <c r="F65" s="166">
        <f t="shared" si="33"/>
        <v>151838531483</v>
      </c>
      <c r="G65" s="167">
        <f t="shared" ref="G65:H65" si="40">G64</f>
        <v>0.4143785516</v>
      </c>
      <c r="H65" s="165">
        <f t="shared" si="40"/>
        <v>0.8213528657</v>
      </c>
      <c r="I65" s="157">
        <f t="shared" si="35"/>
        <v>300963967538</v>
      </c>
      <c r="J65" s="160">
        <f t="shared" si="36"/>
        <v>226118683349</v>
      </c>
      <c r="K65" s="69" t="s">
        <v>65</v>
      </c>
      <c r="N65" s="153">
        <f>N62-N63+N64*1000000</f>
        <v>4497289881942</v>
      </c>
      <c r="O65" s="1"/>
      <c r="Q65" s="47"/>
      <c r="R65" s="154"/>
      <c r="T65" s="47"/>
      <c r="U65" s="5"/>
      <c r="V65" s="5"/>
      <c r="W65" s="5"/>
      <c r="X65" s="6"/>
      <c r="Y65" s="6"/>
      <c r="Z65" s="155"/>
      <c r="AA65" s="6"/>
      <c r="AB65" s="5"/>
      <c r="AC65" s="132">
        <f>IFERROR(__xludf.DUMMYFUNCTION("""COMPUTED_VALUE"""),43609.66666666667)</f>
        <v>43609.66667</v>
      </c>
      <c r="AD65" s="133">
        <f>IFERROR(__xludf.DUMMYFUNCTION("""COMPUTED_VALUE"""),181.06)</f>
        <v>181.06</v>
      </c>
    </row>
    <row r="66">
      <c r="A66" s="1"/>
      <c r="B66" s="1"/>
      <c r="C66" s="164">
        <f t="shared" si="37"/>
        <v>2029</v>
      </c>
      <c r="D66" s="157">
        <f t="shared" si="38"/>
        <v>443985942777</v>
      </c>
      <c r="E66" s="171">
        <f t="shared" ref="E66:E67" si="42">E65-1%</f>
        <v>0.211670385</v>
      </c>
      <c r="F66" s="166">
        <f t="shared" si="33"/>
        <v>183978251897</v>
      </c>
      <c r="G66" s="167">
        <f t="shared" ref="G66:H66" si="41">G65</f>
        <v>0.4143785516</v>
      </c>
      <c r="H66" s="165">
        <f t="shared" si="41"/>
        <v>0.8213528657</v>
      </c>
      <c r="I66" s="157">
        <f t="shared" si="35"/>
        <v>364669126412</v>
      </c>
      <c r="J66" s="160">
        <f t="shared" si="36"/>
        <v>249073920096</v>
      </c>
      <c r="K66" s="69" t="s">
        <v>66</v>
      </c>
      <c r="N66" s="172">
        <v>0.1</v>
      </c>
      <c r="O66" s="1"/>
      <c r="P66" s="161" t="s">
        <v>67</v>
      </c>
      <c r="Q66" s="173">
        <f t="array" ref="Q66">if(Q61="NA","-",(npv(Q61,I63:I66,I67)*(1+Q61)^5+N65)/P$53-1)</f>
        <v>3.333339144</v>
      </c>
      <c r="R66" s="154"/>
      <c r="S66" s="154"/>
      <c r="T66" s="163"/>
      <c r="U66" s="5"/>
      <c r="V66" s="5"/>
      <c r="W66" s="5"/>
      <c r="X66" s="6"/>
      <c r="Y66" s="6"/>
      <c r="Z66" s="155"/>
      <c r="AA66" s="6"/>
      <c r="AB66" s="5"/>
      <c r="AC66" s="174">
        <f>IFERROR(__xludf.DUMMYFUNCTION("""COMPUTED_VALUE"""),43616.66666666667)</f>
        <v>43616.66667</v>
      </c>
      <c r="AD66" s="175">
        <f>IFERROR(__xludf.DUMMYFUNCTION("""COMPUTED_VALUE"""),177.47)</f>
        <v>177.47</v>
      </c>
    </row>
    <row r="67">
      <c r="A67" s="1"/>
      <c r="B67" s="1"/>
      <c r="C67" s="176">
        <f t="shared" si="37"/>
        <v>2030</v>
      </c>
      <c r="D67" s="177">
        <f t="shared" si="38"/>
        <v>533524758784</v>
      </c>
      <c r="E67" s="178">
        <f t="shared" si="42"/>
        <v>0.201670385</v>
      </c>
      <c r="F67" s="179">
        <f t="shared" si="33"/>
        <v>221081216785</v>
      </c>
      <c r="G67" s="180">
        <f t="shared" ref="G67:H67" si="43">G66</f>
        <v>0.4143785516</v>
      </c>
      <c r="H67" s="181">
        <f t="shared" si="43"/>
        <v>0.8213528657</v>
      </c>
      <c r="I67" s="177">
        <f t="shared" si="35"/>
        <v>438212089527</v>
      </c>
      <c r="J67" s="182">
        <f t="shared" si="36"/>
        <v>272095230410</v>
      </c>
      <c r="K67" s="183" t="s">
        <v>68</v>
      </c>
      <c r="L67" s="86"/>
      <c r="M67" s="86"/>
      <c r="N67" s="184">
        <f>sum(J63:J67)+PV(N66,5,0,-1*N65)</f>
        <v>3926671394779</v>
      </c>
      <c r="O67" s="185"/>
      <c r="P67" s="86"/>
      <c r="Q67" s="87"/>
      <c r="R67" s="186" t="str">
        <f>IF(Q66=0,Q66-0.03,)</f>
        <v/>
      </c>
      <c r="S67" s="149" t="s">
        <v>60</v>
      </c>
      <c r="T67" s="187" t="str">
        <f>IF(Q66=0,Q66+0.02,)</f>
        <v/>
      </c>
      <c r="U67" s="5"/>
      <c r="V67" s="5"/>
      <c r="W67" s="5"/>
      <c r="X67" s="6"/>
      <c r="Y67" s="6"/>
      <c r="Z67" s="155"/>
      <c r="AA67" s="6"/>
      <c r="AB67" s="5"/>
      <c r="AC67" s="174">
        <f>IFERROR(__xludf.DUMMYFUNCTION("""COMPUTED_VALUE"""),43623.66666666667)</f>
        <v>43623.66667</v>
      </c>
      <c r="AD67" s="175">
        <f>IFERROR(__xludf.DUMMYFUNCTION("""COMPUTED_VALUE"""),173.35)</f>
        <v>173.35</v>
      </c>
    </row>
    <row r="68">
      <c r="A68" s="1"/>
      <c r="B68" s="1"/>
      <c r="C68" s="1"/>
      <c r="D68" s="1"/>
      <c r="E68" s="1"/>
      <c r="F68" s="1"/>
      <c r="G68" s="1"/>
      <c r="H68" s="1"/>
      <c r="I68" s="1"/>
      <c r="J68" s="1"/>
      <c r="K68" s="1"/>
      <c r="L68" s="99"/>
      <c r="M68" s="1"/>
      <c r="N68" s="1"/>
      <c r="O68" s="99"/>
      <c r="P68" s="1"/>
      <c r="Q68" s="1"/>
      <c r="R68" s="1"/>
      <c r="S68" s="1"/>
      <c r="U68" s="5"/>
      <c r="V68" s="5"/>
      <c r="W68" s="5"/>
      <c r="X68" s="5"/>
      <c r="Y68" s="6"/>
      <c r="Z68" s="6"/>
      <c r="AA68" s="6"/>
      <c r="AB68" s="5"/>
      <c r="AC68" s="174">
        <f>IFERROR(__xludf.DUMMYFUNCTION("""COMPUTED_VALUE"""),43630.66666666667)</f>
        <v>43630.66667</v>
      </c>
      <c r="AD68" s="175">
        <f>IFERROR(__xludf.DUMMYFUNCTION("""COMPUTED_VALUE"""),181.33)</f>
        <v>181.33</v>
      </c>
    </row>
    <row r="69">
      <c r="A69" s="1"/>
      <c r="B69" s="1"/>
      <c r="C69" s="139"/>
      <c r="D69" s="140" t="s">
        <v>55</v>
      </c>
      <c r="E69" s="141" t="s">
        <v>56</v>
      </c>
      <c r="F69" s="141" t="s">
        <v>31</v>
      </c>
      <c r="G69" s="141" t="s">
        <v>24</v>
      </c>
      <c r="H69" s="141" t="s">
        <v>36</v>
      </c>
      <c r="I69" s="141" t="s">
        <v>57</v>
      </c>
      <c r="J69" s="142" t="s">
        <v>58</v>
      </c>
      <c r="K69" s="143" t="s">
        <v>59</v>
      </c>
      <c r="L69" s="75"/>
      <c r="M69" s="75"/>
      <c r="N69" s="188">
        <v>0.0</v>
      </c>
      <c r="O69" s="145"/>
      <c r="P69" s="189" t="s">
        <v>8</v>
      </c>
      <c r="Q69" s="190" t="str">
        <f t="array" ref="Q69">if(countif(G71:H75,"=0")=10,"NA",IRR({-1*P$53,I71,I72,I73,I74,I75+N73}))</f>
        <v>NA</v>
      </c>
      <c r="R69" s="191" t="str">
        <f>IFERROR(Q69-0.03,)</f>
        <v/>
      </c>
      <c r="S69" s="192" t="s">
        <v>60</v>
      </c>
      <c r="T69" s="193" t="str">
        <f>IFERROR(Q69+0.02,)</f>
        <v/>
      </c>
      <c r="U69" s="5"/>
      <c r="V69" s="5"/>
      <c r="W69" s="5"/>
      <c r="X69" s="5"/>
      <c r="Y69" s="6"/>
      <c r="Z69" s="6"/>
      <c r="AA69" s="6"/>
      <c r="AB69" s="5"/>
      <c r="AC69" s="174">
        <f>IFERROR(__xludf.DUMMYFUNCTION("""COMPUTED_VALUE"""),43637.66666666667)</f>
        <v>43637.66667</v>
      </c>
      <c r="AD69" s="175">
        <f>IFERROR(__xludf.DUMMYFUNCTION("""COMPUTED_VALUE"""),191.14)</f>
        <v>191.14</v>
      </c>
    </row>
    <row r="70">
      <c r="A70" s="1"/>
      <c r="B70" s="1"/>
      <c r="C70" s="137"/>
      <c r="D70" s="152"/>
      <c r="E70" s="86"/>
      <c r="F70" s="86"/>
      <c r="G70" s="86"/>
      <c r="I70" s="86"/>
      <c r="J70" s="87"/>
      <c r="K70" s="69" t="s">
        <v>62</v>
      </c>
      <c r="N70" s="153">
        <f>F75*N69</f>
        <v>0</v>
      </c>
      <c r="O70" s="12"/>
      <c r="Q70" s="47"/>
      <c r="R70" s="194" t="s">
        <v>12</v>
      </c>
      <c r="S70" s="75"/>
      <c r="T70" s="76"/>
      <c r="U70" s="5"/>
      <c r="V70" s="5"/>
      <c r="W70" s="5"/>
      <c r="X70" s="5"/>
      <c r="Y70" s="6"/>
      <c r="Z70" s="6"/>
      <c r="AA70" s="6"/>
      <c r="AB70" s="5"/>
      <c r="AC70" s="174">
        <f>IFERROR(__xludf.DUMMYFUNCTION("""COMPUTED_VALUE"""),43644.66666666667)</f>
        <v>43644.66667</v>
      </c>
      <c r="AD70" s="175">
        <f>IFERROR(__xludf.DUMMYFUNCTION("""COMPUTED_VALUE"""),193.0)</f>
        <v>193</v>
      </c>
    </row>
    <row r="71">
      <c r="A71" s="1"/>
      <c r="B71" s="1"/>
      <c r="C71" s="164">
        <f t="shared" ref="C71:C75" si="44">C63</f>
        <v>2026</v>
      </c>
      <c r="D71" s="157">
        <f>D$53*(1+E71)</f>
        <v>200966000000</v>
      </c>
      <c r="E71" s="158">
        <v>0.0</v>
      </c>
      <c r="F71" s="157">
        <f t="shared" ref="F71:F75" si="45">G71*D71</f>
        <v>0</v>
      </c>
      <c r="G71" s="158">
        <v>0.0</v>
      </c>
      <c r="H71" s="159">
        <v>0.0</v>
      </c>
      <c r="I71" s="157">
        <f t="shared" ref="I71:I75" si="47">H71*D71</f>
        <v>0</v>
      </c>
      <c r="J71" s="160">
        <f t="shared" ref="J71:J75" si="48">I71/(1+N$74)^(C71-C$71+1)</f>
        <v>0</v>
      </c>
      <c r="K71" s="65" t="s">
        <v>37</v>
      </c>
      <c r="N71" s="153">
        <f>M$53</f>
        <v>48024000000</v>
      </c>
      <c r="O71" s="12"/>
      <c r="P71" s="161" t="s">
        <v>63</v>
      </c>
      <c r="Q71" s="162" t="str">
        <f>if(Q69="NA","-",(N75/P$53)*I$6)</f>
        <v>-</v>
      </c>
      <c r="R71" s="195"/>
      <c r="S71" s="195"/>
      <c r="T71" s="196"/>
      <c r="U71" s="5"/>
      <c r="V71" s="5"/>
      <c r="W71" s="60"/>
      <c r="X71" s="5"/>
      <c r="Y71" s="6"/>
      <c r="Z71" s="6"/>
      <c r="AA71" s="6"/>
      <c r="AB71" s="5"/>
      <c r="AC71" s="174">
        <f>IFERROR(__xludf.DUMMYFUNCTION("""COMPUTED_VALUE"""),43651.66666666667)</f>
        <v>43651.66667</v>
      </c>
      <c r="AD71" s="175">
        <f>IFERROR(__xludf.DUMMYFUNCTION("""COMPUTED_VALUE"""),196.4)</f>
        <v>196.4</v>
      </c>
    </row>
    <row r="72">
      <c r="A72" s="1"/>
      <c r="B72" s="1"/>
      <c r="C72" s="164">
        <f t="shared" si="44"/>
        <v>2027</v>
      </c>
      <c r="D72" s="157">
        <f t="shared" ref="D72:D75" si="49">D71*(1+E72)</f>
        <v>200966000000</v>
      </c>
      <c r="E72" s="165">
        <f t="shared" ref="E72:E73" si="50">E71</f>
        <v>0</v>
      </c>
      <c r="F72" s="166">
        <f t="shared" si="45"/>
        <v>0</v>
      </c>
      <c r="G72" s="167">
        <f t="shared" ref="G72:H72" si="46">G71</f>
        <v>0</v>
      </c>
      <c r="H72" s="165">
        <f t="shared" si="46"/>
        <v>0</v>
      </c>
      <c r="I72" s="157">
        <f t="shared" si="47"/>
        <v>0</v>
      </c>
      <c r="J72" s="160">
        <f t="shared" si="48"/>
        <v>0</v>
      </c>
      <c r="K72" s="65" t="s">
        <v>64</v>
      </c>
      <c r="N72" s="168">
        <v>0.0</v>
      </c>
      <c r="O72" s="197"/>
      <c r="Q72" s="47"/>
      <c r="R72" s="198" t="str">
        <f>IFERROR(Q71-(Q71*0.05),)</f>
        <v/>
      </c>
      <c r="S72" s="192" t="s">
        <v>60</v>
      </c>
      <c r="T72" s="199" t="str">
        <f>IFERROR(Q71+(Q71*0.05),)</f>
        <v/>
      </c>
      <c r="U72" s="5"/>
      <c r="V72" s="5"/>
      <c r="W72" s="60"/>
      <c r="X72" s="5"/>
      <c r="Y72" s="6"/>
      <c r="Z72" s="6"/>
      <c r="AA72" s="6"/>
      <c r="AB72" s="5"/>
      <c r="AC72" s="174">
        <f>IFERROR(__xludf.DUMMYFUNCTION("""COMPUTED_VALUE"""),43658.66666666667)</f>
        <v>43658.66667</v>
      </c>
      <c r="AD72" s="175">
        <f>IFERROR(__xludf.DUMMYFUNCTION("""COMPUTED_VALUE"""),204.87)</f>
        <v>204.87</v>
      </c>
    </row>
    <row r="73">
      <c r="A73" s="1"/>
      <c r="B73" s="1"/>
      <c r="C73" s="164">
        <f t="shared" si="44"/>
        <v>2028</v>
      </c>
      <c r="D73" s="157">
        <f t="shared" si="49"/>
        <v>200966000000</v>
      </c>
      <c r="E73" s="165">
        <f t="shared" si="50"/>
        <v>0</v>
      </c>
      <c r="F73" s="166">
        <f t="shared" si="45"/>
        <v>0</v>
      </c>
      <c r="G73" s="167">
        <f t="shared" ref="G73:H73" si="51">G72</f>
        <v>0</v>
      </c>
      <c r="H73" s="165">
        <f t="shared" si="51"/>
        <v>0</v>
      </c>
      <c r="I73" s="157">
        <f t="shared" si="47"/>
        <v>0</v>
      </c>
      <c r="J73" s="160">
        <f t="shared" si="48"/>
        <v>0</v>
      </c>
      <c r="K73" s="69" t="s">
        <v>65</v>
      </c>
      <c r="N73" s="153">
        <f>N70-N71+N72*1000000</f>
        <v>-48024000000</v>
      </c>
      <c r="O73" s="12"/>
      <c r="Q73" s="47"/>
      <c r="R73" s="194"/>
      <c r="S73" s="75"/>
      <c r="T73" s="76"/>
      <c r="U73" s="5"/>
      <c r="V73" s="5"/>
      <c r="W73" s="60"/>
      <c r="X73" s="5"/>
      <c r="Y73" s="6"/>
      <c r="Z73" s="6"/>
      <c r="AA73" s="6"/>
      <c r="AB73" s="5"/>
      <c r="AC73" s="174">
        <f>IFERROR(__xludf.DUMMYFUNCTION("""COMPUTED_VALUE"""),43665.66666666667)</f>
        <v>43665.66667</v>
      </c>
      <c r="AD73" s="175">
        <f>IFERROR(__xludf.DUMMYFUNCTION("""COMPUTED_VALUE"""),198.36)</f>
        <v>198.36</v>
      </c>
    </row>
    <row r="74">
      <c r="A74" s="1"/>
      <c r="B74" s="1"/>
      <c r="C74" s="164">
        <f t="shared" si="44"/>
        <v>2029</v>
      </c>
      <c r="D74" s="157">
        <f t="shared" si="49"/>
        <v>198956340000</v>
      </c>
      <c r="E74" s="171">
        <f t="shared" ref="E74:E75" si="53">E73-1%</f>
        <v>-0.01</v>
      </c>
      <c r="F74" s="166">
        <f t="shared" si="45"/>
        <v>0</v>
      </c>
      <c r="G74" s="167">
        <f t="shared" ref="G74:H74" si="52">G73</f>
        <v>0</v>
      </c>
      <c r="H74" s="165">
        <f t="shared" si="52"/>
        <v>0</v>
      </c>
      <c r="I74" s="157">
        <f t="shared" si="47"/>
        <v>0</v>
      </c>
      <c r="J74" s="160">
        <f t="shared" si="48"/>
        <v>0</v>
      </c>
      <c r="K74" s="69" t="s">
        <v>66</v>
      </c>
      <c r="N74" s="172">
        <f>N66</f>
        <v>0.1</v>
      </c>
      <c r="O74" s="12"/>
      <c r="P74" s="200" t="s">
        <v>67</v>
      </c>
      <c r="Q74" s="173" t="str">
        <f t="array" ref="Q74">if(Q69="NA","-",(npv(Q69,I71:I74,I75)*(1+Q69)^5+N73)/P$53-1)</f>
        <v>-</v>
      </c>
      <c r="R74" s="195"/>
      <c r="S74" s="195"/>
      <c r="T74" s="196"/>
      <c r="U74" s="5"/>
      <c r="V74" s="5"/>
      <c r="W74" s="131"/>
      <c r="X74" s="5"/>
      <c r="Y74" s="6"/>
      <c r="Z74" s="6"/>
      <c r="AA74" s="6"/>
      <c r="AB74" s="5"/>
      <c r="AC74" s="174">
        <f>IFERROR(__xludf.DUMMYFUNCTION("""COMPUTED_VALUE"""),43672.66666666667)</f>
        <v>43672.66667</v>
      </c>
      <c r="AD74" s="175">
        <f>IFERROR(__xludf.DUMMYFUNCTION("""COMPUTED_VALUE"""),199.75)</f>
        <v>199.75</v>
      </c>
    </row>
    <row r="75">
      <c r="A75" s="1"/>
      <c r="B75" s="1"/>
      <c r="C75" s="176">
        <f t="shared" si="44"/>
        <v>2030</v>
      </c>
      <c r="D75" s="177">
        <f t="shared" si="49"/>
        <v>194977213200</v>
      </c>
      <c r="E75" s="178">
        <f t="shared" si="53"/>
        <v>-0.02</v>
      </c>
      <c r="F75" s="179">
        <f t="shared" si="45"/>
        <v>0</v>
      </c>
      <c r="G75" s="180">
        <f t="shared" ref="G75:H75" si="54">G74</f>
        <v>0</v>
      </c>
      <c r="H75" s="181">
        <f t="shared" si="54"/>
        <v>0</v>
      </c>
      <c r="I75" s="177">
        <f t="shared" si="47"/>
        <v>0</v>
      </c>
      <c r="J75" s="182">
        <f t="shared" si="48"/>
        <v>0</v>
      </c>
      <c r="K75" s="201" t="s">
        <v>68</v>
      </c>
      <c r="L75" s="86"/>
      <c r="M75" s="86"/>
      <c r="N75" s="184">
        <f>sum(J71:J75)+PV(N74,5,0,-1*N73)</f>
        <v>-29819125619</v>
      </c>
      <c r="O75" s="202"/>
      <c r="P75" s="86"/>
      <c r="Q75" s="87"/>
      <c r="R75" s="203" t="str">
        <f>IF(Q74=0,Q74-0.03,)</f>
        <v/>
      </c>
      <c r="S75" s="192" t="s">
        <v>60</v>
      </c>
      <c r="T75" s="204" t="str">
        <f>IF(Q74=0,Q74+0.02,)</f>
        <v/>
      </c>
      <c r="U75" s="5"/>
      <c r="V75" s="5"/>
      <c r="W75" s="131"/>
      <c r="X75" s="5"/>
      <c r="Y75" s="6"/>
      <c r="Z75" s="6"/>
      <c r="AA75" s="6"/>
      <c r="AB75" s="5"/>
      <c r="AC75" s="174">
        <f>IFERROR(__xludf.DUMMYFUNCTION("""COMPUTED_VALUE"""),43679.66666666667)</f>
        <v>43679.66667</v>
      </c>
      <c r="AD75" s="175">
        <f>IFERROR(__xludf.DUMMYFUNCTION("""COMPUTED_VALUE"""),189.02)</f>
        <v>189.02</v>
      </c>
    </row>
    <row r="76">
      <c r="A76" s="1"/>
      <c r="B76" s="1"/>
      <c r="C76" s="1"/>
      <c r="D76" s="1"/>
      <c r="E76" s="1"/>
      <c r="F76" s="1"/>
      <c r="G76" s="1"/>
      <c r="H76" s="1"/>
      <c r="I76" s="1"/>
      <c r="J76" s="1"/>
      <c r="K76" s="1"/>
      <c r="L76" s="99"/>
      <c r="M76" s="1"/>
      <c r="N76" s="1"/>
      <c r="O76" s="8"/>
      <c r="P76" s="1"/>
      <c r="Q76" s="1"/>
      <c r="R76" s="1"/>
      <c r="S76" s="1"/>
      <c r="U76" s="5"/>
      <c r="V76" s="5"/>
      <c r="W76" s="5"/>
      <c r="X76" s="5"/>
      <c r="Y76" s="6"/>
      <c r="Z76" s="6"/>
      <c r="AA76" s="6"/>
      <c r="AB76" s="5"/>
      <c r="AC76" s="174">
        <f>IFERROR(__xludf.DUMMYFUNCTION("""COMPUTED_VALUE"""),43686.66666666667)</f>
        <v>43686.66667</v>
      </c>
      <c r="AD76" s="175">
        <f>IFERROR(__xludf.DUMMYFUNCTION("""COMPUTED_VALUE"""),187.85)</f>
        <v>187.85</v>
      </c>
    </row>
    <row r="77">
      <c r="A77" s="1"/>
      <c r="B77" s="1"/>
      <c r="C77" s="139"/>
      <c r="D77" s="140" t="s">
        <v>55</v>
      </c>
      <c r="E77" s="141" t="s">
        <v>56</v>
      </c>
      <c r="F77" s="141" t="s">
        <v>31</v>
      </c>
      <c r="G77" s="141" t="s">
        <v>24</v>
      </c>
      <c r="H77" s="141" t="s">
        <v>36</v>
      </c>
      <c r="I77" s="141" t="s">
        <v>57</v>
      </c>
      <c r="J77" s="142" t="s">
        <v>58</v>
      </c>
      <c r="K77" s="143" t="s">
        <v>59</v>
      </c>
      <c r="L77" s="75"/>
      <c r="M77" s="75"/>
      <c r="N77" s="188">
        <v>0.0</v>
      </c>
      <c r="O77" s="145"/>
      <c r="P77" s="189" t="s">
        <v>8</v>
      </c>
      <c r="Q77" s="190" t="str">
        <f t="array" ref="Q77">if(countif(G79:H83,"=0")=10,"NA",IRR({-1*P$53,I79,I80,I81,I82,I83+N81}))</f>
        <v>NA</v>
      </c>
      <c r="R77" s="205" t="str">
        <f>IFERROR(Q77-0.03,)</f>
        <v/>
      </c>
      <c r="S77" s="206" t="s">
        <v>60</v>
      </c>
      <c r="T77" s="207" t="str">
        <f>IFERROR(Q77+0.02,)</f>
        <v/>
      </c>
      <c r="U77" s="5"/>
      <c r="V77" s="5"/>
      <c r="W77" s="5"/>
      <c r="X77" s="5"/>
      <c r="Y77" s="6"/>
      <c r="Z77" s="6"/>
      <c r="AA77" s="6"/>
      <c r="AB77" s="5"/>
      <c r="AC77" s="174">
        <f>IFERROR(__xludf.DUMMYFUNCTION("""COMPUTED_VALUE"""),43693.66666666667)</f>
        <v>43693.66667</v>
      </c>
      <c r="AD77" s="175">
        <f>IFERROR(__xludf.DUMMYFUNCTION("""COMPUTED_VALUE"""),183.7)</f>
        <v>183.7</v>
      </c>
    </row>
    <row r="78">
      <c r="A78" s="1"/>
      <c r="B78" s="1"/>
      <c r="C78" s="137"/>
      <c r="D78" s="152"/>
      <c r="E78" s="86"/>
      <c r="F78" s="86"/>
      <c r="G78" s="86"/>
      <c r="I78" s="86"/>
      <c r="J78" s="87"/>
      <c r="K78" s="69" t="s">
        <v>62</v>
      </c>
      <c r="N78" s="153">
        <f>F83*N77</f>
        <v>0</v>
      </c>
      <c r="O78" s="12"/>
      <c r="Q78" s="47"/>
      <c r="R78" s="208" t="s">
        <v>15</v>
      </c>
      <c r="S78" s="75"/>
      <c r="T78" s="76"/>
      <c r="U78" s="5"/>
      <c r="V78" s="5"/>
      <c r="W78" s="5"/>
      <c r="X78" s="5"/>
      <c r="Y78" s="6"/>
      <c r="Z78" s="6"/>
      <c r="AA78" s="6"/>
      <c r="AB78" s="5"/>
      <c r="AC78" s="174">
        <f>IFERROR(__xludf.DUMMYFUNCTION("""COMPUTED_VALUE"""),43700.66666666667)</f>
        <v>43700.66667</v>
      </c>
      <c r="AD78" s="175">
        <f>IFERROR(__xludf.DUMMYFUNCTION("""COMPUTED_VALUE"""),177.75)</f>
        <v>177.75</v>
      </c>
    </row>
    <row r="79">
      <c r="A79" s="1"/>
      <c r="B79" s="1"/>
      <c r="C79" s="164">
        <f t="shared" ref="C79:C83" si="55">C71</f>
        <v>2026</v>
      </c>
      <c r="D79" s="157">
        <f>D$53*(1+E79)</f>
        <v>200966000000</v>
      </c>
      <c r="E79" s="158">
        <v>0.0</v>
      </c>
      <c r="F79" s="157">
        <f t="shared" ref="F79:F83" si="56">G79*D79</f>
        <v>0</v>
      </c>
      <c r="G79" s="158">
        <v>0.0</v>
      </c>
      <c r="H79" s="159">
        <v>0.0</v>
      </c>
      <c r="I79" s="157">
        <f t="shared" ref="I79:I83" si="58">H79*D79</f>
        <v>0</v>
      </c>
      <c r="J79" s="160">
        <f t="shared" ref="J79:J83" si="59">I79/(1+N$82)^(C79-C$79+1)</f>
        <v>0</v>
      </c>
      <c r="K79" s="65" t="s">
        <v>37</v>
      </c>
      <c r="N79" s="153">
        <f>M$53</f>
        <v>48024000000</v>
      </c>
      <c r="O79" s="12"/>
      <c r="P79" s="161" t="s">
        <v>63</v>
      </c>
      <c r="Q79" s="162" t="str">
        <f>if(Q77="NA","-",(N83/P$53)*I$6)</f>
        <v>-</v>
      </c>
      <c r="R79" s="209"/>
      <c r="S79" s="209"/>
      <c r="T79" s="210"/>
      <c r="U79" s="5"/>
      <c r="V79" s="5"/>
      <c r="W79" s="60"/>
      <c r="X79" s="5"/>
      <c r="Y79" s="6"/>
      <c r="Z79" s="6"/>
      <c r="AA79" s="6"/>
      <c r="AB79" s="5"/>
      <c r="AC79" s="174">
        <f>IFERROR(__xludf.DUMMYFUNCTION("""COMPUTED_VALUE"""),43707.66666666667)</f>
        <v>43707.66667</v>
      </c>
      <c r="AD79" s="175">
        <f>IFERROR(__xludf.DUMMYFUNCTION("""COMPUTED_VALUE"""),185.67)</f>
        <v>185.67</v>
      </c>
    </row>
    <row r="80">
      <c r="A80" s="1"/>
      <c r="B80" s="1"/>
      <c r="C80" s="164">
        <f t="shared" si="55"/>
        <v>2027</v>
      </c>
      <c r="D80" s="157">
        <f t="shared" ref="D80:D83" si="60">D79*(1+E80)</f>
        <v>200966000000</v>
      </c>
      <c r="E80" s="165">
        <f t="shared" ref="E80:E81" si="61">E79</f>
        <v>0</v>
      </c>
      <c r="F80" s="166">
        <f t="shared" si="56"/>
        <v>0</v>
      </c>
      <c r="G80" s="167">
        <f t="shared" ref="G80:H80" si="57">G79</f>
        <v>0</v>
      </c>
      <c r="H80" s="165">
        <f t="shared" si="57"/>
        <v>0</v>
      </c>
      <c r="I80" s="157">
        <f t="shared" si="58"/>
        <v>0</v>
      </c>
      <c r="J80" s="160">
        <f t="shared" si="59"/>
        <v>0</v>
      </c>
      <c r="K80" s="65" t="s">
        <v>64</v>
      </c>
      <c r="N80" s="168">
        <v>0.0</v>
      </c>
      <c r="O80" s="12"/>
      <c r="Q80" s="47"/>
      <c r="R80" s="211" t="str">
        <f>IFERROR(Q79-(Q79*0.05),)</f>
        <v/>
      </c>
      <c r="S80" s="206" t="s">
        <v>60</v>
      </c>
      <c r="T80" s="212" t="str">
        <f>IFERROR(Q79+(Q79*0.05),)</f>
        <v/>
      </c>
      <c r="U80" s="5"/>
      <c r="V80" s="5"/>
      <c r="W80" s="60"/>
      <c r="X80" s="5"/>
      <c r="Y80" s="6"/>
      <c r="Z80" s="6"/>
      <c r="AA80" s="6"/>
      <c r="AB80" s="5"/>
      <c r="AC80" s="174">
        <f>IFERROR(__xludf.DUMMYFUNCTION("""COMPUTED_VALUE"""),43714.66666666667)</f>
        <v>43714.66667</v>
      </c>
      <c r="AD80" s="175">
        <f>IFERROR(__xludf.DUMMYFUNCTION("""COMPUTED_VALUE"""),187.49)</f>
        <v>187.49</v>
      </c>
    </row>
    <row r="81">
      <c r="A81" s="1"/>
      <c r="B81" s="1"/>
      <c r="C81" s="164">
        <f t="shared" si="55"/>
        <v>2028</v>
      </c>
      <c r="D81" s="157">
        <f t="shared" si="60"/>
        <v>200966000000</v>
      </c>
      <c r="E81" s="165">
        <f t="shared" si="61"/>
        <v>0</v>
      </c>
      <c r="F81" s="166">
        <f t="shared" si="56"/>
        <v>0</v>
      </c>
      <c r="G81" s="167">
        <f t="shared" ref="G81:H81" si="62">G80</f>
        <v>0</v>
      </c>
      <c r="H81" s="165">
        <f t="shared" si="62"/>
        <v>0</v>
      </c>
      <c r="I81" s="157">
        <f t="shared" si="58"/>
        <v>0</v>
      </c>
      <c r="J81" s="160">
        <f t="shared" si="59"/>
        <v>0</v>
      </c>
      <c r="K81" s="69" t="s">
        <v>65</v>
      </c>
      <c r="N81" s="153">
        <f>N78-N79+N80*1000000</f>
        <v>-48024000000</v>
      </c>
      <c r="O81" s="12"/>
      <c r="Q81" s="47"/>
      <c r="R81" s="208"/>
      <c r="S81" s="75"/>
      <c r="T81" s="76"/>
      <c r="U81" s="5"/>
      <c r="V81" s="5"/>
      <c r="W81" s="60"/>
      <c r="X81" s="5"/>
      <c r="Y81" s="6"/>
      <c r="Z81" s="6"/>
      <c r="AA81" s="6"/>
      <c r="AB81" s="5"/>
      <c r="AC81" s="174">
        <f>IFERROR(__xludf.DUMMYFUNCTION("""COMPUTED_VALUE"""),43721.66666666667)</f>
        <v>43721.66667</v>
      </c>
      <c r="AD81" s="175">
        <f>IFERROR(__xludf.DUMMYFUNCTION("""COMPUTED_VALUE"""),187.19)</f>
        <v>187.19</v>
      </c>
    </row>
    <row r="82">
      <c r="A82" s="1"/>
      <c r="B82" s="1"/>
      <c r="C82" s="164">
        <f t="shared" si="55"/>
        <v>2029</v>
      </c>
      <c r="D82" s="157">
        <f t="shared" si="60"/>
        <v>198956340000</v>
      </c>
      <c r="E82" s="171">
        <f t="shared" ref="E82:E83" si="64">E81-1%</f>
        <v>-0.01</v>
      </c>
      <c r="F82" s="166">
        <f t="shared" si="56"/>
        <v>0</v>
      </c>
      <c r="G82" s="167">
        <f t="shared" ref="G82:H82" si="63">G81</f>
        <v>0</v>
      </c>
      <c r="H82" s="165">
        <f t="shared" si="63"/>
        <v>0</v>
      </c>
      <c r="I82" s="157">
        <f t="shared" si="58"/>
        <v>0</v>
      </c>
      <c r="J82" s="160">
        <f t="shared" si="59"/>
        <v>0</v>
      </c>
      <c r="K82" s="69" t="s">
        <v>66</v>
      </c>
      <c r="N82" s="172">
        <f>N66</f>
        <v>0.1</v>
      </c>
      <c r="O82" s="12"/>
      <c r="P82" s="200" t="s">
        <v>67</v>
      </c>
      <c r="Q82" s="173" t="str">
        <f t="array" ref="Q82">if(Q77="NA","-",(npv(Q77,I79:I82,I83)*(1+Q77)^5+N81)/P$53-1)</f>
        <v>-</v>
      </c>
      <c r="R82" s="209"/>
      <c r="S82" s="209"/>
      <c r="T82" s="210"/>
      <c r="U82" s="5"/>
      <c r="V82" s="5"/>
      <c r="W82" s="131"/>
      <c r="X82" s="5"/>
      <c r="Y82" s="6"/>
      <c r="Z82" s="6"/>
      <c r="AA82" s="6"/>
      <c r="AB82" s="5"/>
      <c r="AC82" s="174">
        <f>IFERROR(__xludf.DUMMYFUNCTION("""COMPUTED_VALUE"""),43728.66666666667)</f>
        <v>43728.66667</v>
      </c>
      <c r="AD82" s="175">
        <f>IFERROR(__xludf.DUMMYFUNCTION("""COMPUTED_VALUE"""),189.93)</f>
        <v>189.93</v>
      </c>
    </row>
    <row r="83">
      <c r="A83" s="1"/>
      <c r="B83" s="1"/>
      <c r="C83" s="176">
        <f t="shared" si="55"/>
        <v>2030</v>
      </c>
      <c r="D83" s="177">
        <f t="shared" si="60"/>
        <v>194977213200</v>
      </c>
      <c r="E83" s="178">
        <f t="shared" si="64"/>
        <v>-0.02</v>
      </c>
      <c r="F83" s="179">
        <f t="shared" si="56"/>
        <v>0</v>
      </c>
      <c r="G83" s="180">
        <f t="shared" ref="G83:H83" si="65">G82</f>
        <v>0</v>
      </c>
      <c r="H83" s="181">
        <f t="shared" si="65"/>
        <v>0</v>
      </c>
      <c r="I83" s="177">
        <f t="shared" si="58"/>
        <v>0</v>
      </c>
      <c r="J83" s="182">
        <f t="shared" si="59"/>
        <v>0</v>
      </c>
      <c r="K83" s="201" t="s">
        <v>68</v>
      </c>
      <c r="L83" s="86"/>
      <c r="M83" s="86"/>
      <c r="N83" s="184">
        <f>sum(J79:J83)+PV(N82,5,0,-1*N81)</f>
        <v>-29819125619</v>
      </c>
      <c r="O83" s="202"/>
      <c r="P83" s="86"/>
      <c r="Q83" s="87"/>
      <c r="R83" s="213" t="str">
        <f>IF(Q82=0,Q82-0.03,)</f>
        <v/>
      </c>
      <c r="S83" s="206" t="s">
        <v>60</v>
      </c>
      <c r="T83" s="214" t="str">
        <f>IF(Q82=0,Q82+0.02,)</f>
        <v/>
      </c>
      <c r="U83" s="5"/>
      <c r="V83" s="5"/>
      <c r="W83" s="131"/>
      <c r="X83" s="5"/>
      <c r="Y83" s="6"/>
      <c r="Z83" s="6"/>
      <c r="AA83" s="6"/>
      <c r="AB83" s="5"/>
      <c r="AC83" s="174">
        <f>IFERROR(__xludf.DUMMYFUNCTION("""COMPUTED_VALUE"""),43735.66666666667)</f>
        <v>43735.66667</v>
      </c>
      <c r="AD83" s="175">
        <f>IFERROR(__xludf.DUMMYFUNCTION("""COMPUTED_VALUE"""),177.1)</f>
        <v>177.1</v>
      </c>
    </row>
    <row r="84" ht="16.5" customHeight="1">
      <c r="A84" s="1"/>
      <c r="B84" s="1"/>
      <c r="C84" s="1"/>
      <c r="D84" s="1"/>
      <c r="E84" s="1"/>
      <c r="F84" s="1"/>
      <c r="G84" s="1"/>
      <c r="H84" s="1"/>
      <c r="I84" s="1"/>
      <c r="J84" s="1"/>
      <c r="K84" s="1"/>
      <c r="L84" s="1"/>
      <c r="M84" s="1"/>
      <c r="N84" s="1"/>
      <c r="P84" s="1"/>
      <c r="Q84" s="1"/>
      <c r="R84" s="1"/>
      <c r="S84" s="1"/>
      <c r="T84" s="1"/>
      <c r="U84" s="5"/>
      <c r="V84" s="6"/>
      <c r="W84" s="6"/>
      <c r="X84" s="6"/>
      <c r="Y84" s="6"/>
      <c r="Z84" s="6"/>
      <c r="AA84" s="6"/>
      <c r="AB84" s="5"/>
      <c r="AC84" s="174">
        <f>IFERROR(__xludf.DUMMYFUNCTION("""COMPUTED_VALUE"""),43742.66666666667)</f>
        <v>43742.66667</v>
      </c>
      <c r="AD84" s="175">
        <f>IFERROR(__xludf.DUMMYFUNCTION("""COMPUTED_VALUE"""),180.45)</f>
        <v>180.45</v>
      </c>
    </row>
    <row r="85">
      <c r="A85" s="1"/>
      <c r="B85" s="1"/>
      <c r="C85" s="138" t="s">
        <v>69</v>
      </c>
      <c r="D85" s="3"/>
      <c r="E85" s="3"/>
      <c r="F85" s="3"/>
      <c r="G85" s="3"/>
      <c r="H85" s="3"/>
      <c r="I85" s="3"/>
      <c r="J85" s="3"/>
      <c r="K85" s="3"/>
      <c r="L85" s="3"/>
      <c r="M85" s="3"/>
      <c r="N85" s="3"/>
      <c r="O85" s="3"/>
      <c r="P85" s="3"/>
      <c r="Q85" s="3"/>
      <c r="R85" s="3"/>
      <c r="S85" s="3"/>
      <c r="T85" s="4"/>
      <c r="U85" s="5"/>
      <c r="V85" s="5"/>
      <c r="W85" s="5"/>
      <c r="X85" s="6"/>
      <c r="Y85" s="6"/>
      <c r="Z85" s="6"/>
      <c r="AA85" s="6"/>
      <c r="AB85" s="5"/>
      <c r="AC85" s="132">
        <f>IFERROR(__xludf.DUMMYFUNCTION("""COMPUTED_VALUE"""),43749.66666666667)</f>
        <v>43749.66667</v>
      </c>
      <c r="AD85" s="133">
        <f>IFERROR(__xludf.DUMMYFUNCTION("""COMPUTED_VALUE"""),184.19)</f>
        <v>184.19</v>
      </c>
    </row>
    <row r="86">
      <c r="A86" s="1"/>
      <c r="B86" s="1"/>
      <c r="C86" s="139"/>
      <c r="D86" s="140" t="s">
        <v>55</v>
      </c>
      <c r="E86" s="141" t="s">
        <v>56</v>
      </c>
      <c r="F86" s="141" t="s">
        <v>31</v>
      </c>
      <c r="G86" s="141" t="s">
        <v>24</v>
      </c>
      <c r="H86" s="141" t="s">
        <v>36</v>
      </c>
      <c r="I86" s="141" t="s">
        <v>57</v>
      </c>
      <c r="J86" s="142" t="s">
        <v>58</v>
      </c>
      <c r="K86" s="215" t="s">
        <v>70</v>
      </c>
      <c r="L86" s="75"/>
      <c r="M86" s="75"/>
      <c r="N86" s="144">
        <f>N61-2</f>
        <v>18.5594756</v>
      </c>
      <c r="O86" s="145"/>
      <c r="P86" s="146" t="s">
        <v>8</v>
      </c>
      <c r="Q86" s="190">
        <f t="array" ref="Q86">if(countif(G88:H90,"=0")=10,"NA",IRR({-1*P$53,I88,I89,I90+N90}))</f>
        <v>0.2996405904</v>
      </c>
      <c r="R86" s="148">
        <f>IFERROR(Q86-0.03,)</f>
        <v>0.2696405904</v>
      </c>
      <c r="S86" s="149" t="s">
        <v>60</v>
      </c>
      <c r="T86" s="150">
        <f>IFERROR(Q86+0.02,)</f>
        <v>0.3196405904</v>
      </c>
      <c r="U86" s="5"/>
      <c r="V86" s="151" t="s">
        <v>61</v>
      </c>
      <c r="W86" s="5"/>
      <c r="X86" s="6"/>
      <c r="Y86" s="6"/>
      <c r="Z86" s="6"/>
      <c r="AA86" s="6"/>
      <c r="AB86" s="5"/>
      <c r="AC86" s="132">
        <f>IFERROR(__xludf.DUMMYFUNCTION("""COMPUTED_VALUE"""),43756.66666666667)</f>
        <v>43756.66667</v>
      </c>
      <c r="AD86" s="133">
        <f>IFERROR(__xludf.DUMMYFUNCTION("""COMPUTED_VALUE"""),185.85)</f>
        <v>185.85</v>
      </c>
    </row>
    <row r="87">
      <c r="A87" s="1"/>
      <c r="B87" s="1"/>
      <c r="C87" s="137"/>
      <c r="D87" s="152"/>
      <c r="E87" s="86"/>
      <c r="F87" s="86"/>
      <c r="G87" s="86"/>
      <c r="I87" s="86"/>
      <c r="J87" s="87"/>
      <c r="K87" s="216" t="s">
        <v>71</v>
      </c>
      <c r="N87" s="153">
        <f>F90*N86</f>
        <v>2749219748995</v>
      </c>
      <c r="O87" s="1"/>
      <c r="Q87" s="47"/>
      <c r="R87" s="154" t="s">
        <v>11</v>
      </c>
      <c r="T87" s="47"/>
      <c r="U87" s="5"/>
      <c r="V87" s="5"/>
      <c r="W87" s="5"/>
      <c r="X87" s="6"/>
      <c r="Y87" s="6"/>
      <c r="Z87" s="155"/>
      <c r="AA87" s="6"/>
      <c r="AB87" s="5"/>
      <c r="AC87" s="132">
        <f>IFERROR(__xludf.DUMMYFUNCTION("""COMPUTED_VALUE"""),43763.66666666667)</f>
        <v>43763.66667</v>
      </c>
      <c r="AD87" s="133">
        <f>IFERROR(__xludf.DUMMYFUNCTION("""COMPUTED_VALUE"""),187.89)</f>
        <v>187.89</v>
      </c>
    </row>
    <row r="88">
      <c r="A88" s="1"/>
      <c r="B88" s="1"/>
      <c r="C88" s="164">
        <f t="shared" ref="C88:C90" si="67">C79</f>
        <v>2026</v>
      </c>
      <c r="D88" s="157">
        <f>D$53*(1+E88)</f>
        <v>245514210588</v>
      </c>
      <c r="E88" s="158">
        <f>E63</f>
        <v>0.221670385</v>
      </c>
      <c r="F88" s="157">
        <f t="shared" ref="F88:F90" si="68">G88*D88</f>
        <v>101735822980</v>
      </c>
      <c r="G88" s="158">
        <f t="shared" ref="G88:H88" si="66">G63</f>
        <v>0.4143785516</v>
      </c>
      <c r="H88" s="159">
        <f t="shared" si="66"/>
        <v>0.8213528657</v>
      </c>
      <c r="I88" s="157">
        <f t="shared" ref="I88:I90" si="70">H88*D88</f>
        <v>201653800427</v>
      </c>
      <c r="J88" s="160">
        <f t="shared" ref="J88:J90" si="71">I88/(1+N$66)^(C88-C$63+1)</f>
        <v>183321636752</v>
      </c>
      <c r="K88" s="41" t="s">
        <v>37</v>
      </c>
      <c r="N88" s="153">
        <f>M$53</f>
        <v>48024000000</v>
      </c>
      <c r="O88" s="1"/>
      <c r="P88" s="161" t="s">
        <v>63</v>
      </c>
      <c r="Q88" s="162">
        <f>if(Q86="NA","-",(N92/P$53)*I$6)</f>
        <v>866.3726995</v>
      </c>
      <c r="R88" s="154"/>
      <c r="S88" s="154"/>
      <c r="T88" s="163"/>
      <c r="U88" s="5"/>
      <c r="V88" s="5"/>
      <c r="W88" s="5"/>
      <c r="X88" s="6"/>
      <c r="Y88" s="6"/>
      <c r="Z88" s="155"/>
      <c r="AA88" s="6"/>
      <c r="AB88" s="5"/>
      <c r="AC88" s="132">
        <f>IFERROR(__xludf.DUMMYFUNCTION("""COMPUTED_VALUE"""),43770.66666666667)</f>
        <v>43770.66667</v>
      </c>
      <c r="AD88" s="133">
        <f>IFERROR(__xludf.DUMMYFUNCTION("""COMPUTED_VALUE"""),193.62)</f>
        <v>193.62</v>
      </c>
    </row>
    <row r="89">
      <c r="A89" s="1"/>
      <c r="B89" s="1"/>
      <c r="C89" s="164">
        <f t="shared" si="67"/>
        <v>2027</v>
      </c>
      <c r="D89" s="157">
        <f t="shared" ref="D89:D90" si="72">D88*(1+E89)</f>
        <v>297482298062</v>
      </c>
      <c r="E89" s="171">
        <f t="shared" ref="E89:E90" si="73">E88-1%</f>
        <v>0.211670385</v>
      </c>
      <c r="F89" s="166">
        <f t="shared" si="68"/>
        <v>123270283796</v>
      </c>
      <c r="G89" s="167">
        <f t="shared" ref="G89:H89" si="69">G88</f>
        <v>0.4143785516</v>
      </c>
      <c r="H89" s="165">
        <f t="shared" si="69"/>
        <v>0.8213528657</v>
      </c>
      <c r="I89" s="157">
        <f t="shared" si="70"/>
        <v>244337937996</v>
      </c>
      <c r="J89" s="160">
        <f t="shared" si="71"/>
        <v>201932180162</v>
      </c>
      <c r="K89" s="41" t="s">
        <v>64</v>
      </c>
      <c r="N89" s="168">
        <v>0.0</v>
      </c>
      <c r="O89" s="1"/>
      <c r="Q89" s="47"/>
      <c r="R89" s="217">
        <f>IFERROR(Q88-(Q88*0.05),)</f>
        <v>823.0540645</v>
      </c>
      <c r="S89" s="149" t="s">
        <v>60</v>
      </c>
      <c r="T89" s="218">
        <f>IFERROR(Q88+(Q88*0.05),)</f>
        <v>909.6913345</v>
      </c>
      <c r="U89" s="5"/>
      <c r="V89" s="5"/>
      <c r="W89" s="5"/>
      <c r="X89" s="6"/>
      <c r="Y89" s="6"/>
      <c r="Z89" s="155"/>
      <c r="AA89" s="6"/>
      <c r="AB89" s="5"/>
      <c r="AC89" s="132">
        <f>IFERROR(__xludf.DUMMYFUNCTION("""COMPUTED_VALUE"""),43777.66666666667)</f>
        <v>43777.66667</v>
      </c>
      <c r="AD89" s="133">
        <f>IFERROR(__xludf.DUMMYFUNCTION("""COMPUTED_VALUE"""),190.84)</f>
        <v>190.84</v>
      </c>
    </row>
    <row r="90">
      <c r="A90" s="1"/>
      <c r="B90" s="1"/>
      <c r="C90" s="164">
        <f t="shared" si="67"/>
        <v>2028</v>
      </c>
      <c r="D90" s="157">
        <f t="shared" si="72"/>
        <v>357475667638</v>
      </c>
      <c r="E90" s="171">
        <f t="shared" si="73"/>
        <v>0.201670385</v>
      </c>
      <c r="F90" s="166">
        <f t="shared" si="68"/>
        <v>148130249387</v>
      </c>
      <c r="G90" s="167">
        <f t="shared" ref="G90:H90" si="74">G89</f>
        <v>0.4143785516</v>
      </c>
      <c r="H90" s="165">
        <f t="shared" si="74"/>
        <v>0.8213528657</v>
      </c>
      <c r="I90" s="157">
        <f t="shared" si="70"/>
        <v>293613664018</v>
      </c>
      <c r="J90" s="160">
        <f t="shared" si="71"/>
        <v>220596291523</v>
      </c>
      <c r="K90" s="216" t="s">
        <v>72</v>
      </c>
      <c r="N90" s="153">
        <f>N87-N88+N89*1000000</f>
        <v>2701195748995</v>
      </c>
      <c r="O90" s="1"/>
      <c r="Q90" s="47"/>
      <c r="R90" s="154"/>
      <c r="T90" s="47"/>
      <c r="U90" s="5"/>
      <c r="V90" s="5"/>
      <c r="W90" s="5"/>
      <c r="X90" s="6"/>
      <c r="Y90" s="6"/>
      <c r="Z90" s="155"/>
      <c r="AA90" s="6"/>
      <c r="AB90" s="5"/>
      <c r="AC90" s="132">
        <f>IFERROR(__xludf.DUMMYFUNCTION("""COMPUTED_VALUE"""),43784.66666666667)</f>
        <v>43784.66667</v>
      </c>
      <c r="AD90" s="133">
        <f>IFERROR(__xludf.DUMMYFUNCTION("""COMPUTED_VALUE"""),195.1)</f>
        <v>195.1</v>
      </c>
    </row>
    <row r="91">
      <c r="A91" s="1"/>
      <c r="B91" s="1"/>
      <c r="C91" s="164"/>
      <c r="D91" s="157"/>
      <c r="E91" s="167"/>
      <c r="F91" s="166"/>
      <c r="G91" s="167"/>
      <c r="H91" s="165"/>
      <c r="I91" s="157"/>
      <c r="J91" s="160"/>
      <c r="K91" s="69" t="s">
        <v>66</v>
      </c>
      <c r="N91" s="172">
        <v>0.1</v>
      </c>
      <c r="O91" s="1"/>
      <c r="P91" s="219" t="s">
        <v>73</v>
      </c>
      <c r="Q91" s="173">
        <f t="array" ref="Q91">if(Q86="NA","-",(npv(Q86,I88:I89,I90)*(1+Q86)^3+N90)/P$53-1)</f>
        <v>1.195178297</v>
      </c>
      <c r="R91" s="154"/>
      <c r="S91" s="154"/>
      <c r="T91" s="163"/>
      <c r="U91" s="5"/>
      <c r="V91" s="5"/>
      <c r="W91" s="5"/>
      <c r="X91" s="6"/>
      <c r="Y91" s="6"/>
      <c r="Z91" s="155"/>
      <c r="AA91" s="6"/>
      <c r="AB91" s="5"/>
      <c r="AC91" s="174">
        <f>IFERROR(__xludf.DUMMYFUNCTION("""COMPUTED_VALUE"""),43791.66666666667)</f>
        <v>43791.66667</v>
      </c>
      <c r="AD91" s="175">
        <f>IFERROR(__xludf.DUMMYFUNCTION("""COMPUTED_VALUE"""),198.82)</f>
        <v>198.82</v>
      </c>
    </row>
    <row r="92">
      <c r="A92" s="1"/>
      <c r="B92" s="1"/>
      <c r="C92" s="176"/>
      <c r="D92" s="177"/>
      <c r="E92" s="180"/>
      <c r="F92" s="179"/>
      <c r="G92" s="180"/>
      <c r="H92" s="181"/>
      <c r="I92" s="177"/>
      <c r="J92" s="182"/>
      <c r="K92" s="183" t="s">
        <v>74</v>
      </c>
      <c r="L92" s="86"/>
      <c r="M92" s="86"/>
      <c r="N92" s="184">
        <f>sum(J88:J90)+PV(N91,5,0,-1*N90)</f>
        <v>2283080146745</v>
      </c>
      <c r="O92" s="185"/>
      <c r="P92" s="86"/>
      <c r="Q92" s="87"/>
      <c r="R92" s="186" t="str">
        <f>IF(Q91=0,Q91-0.03,)</f>
        <v/>
      </c>
      <c r="S92" s="149" t="s">
        <v>60</v>
      </c>
      <c r="T92" s="187" t="str">
        <f>IF(Q91=0,Q91+0.02,)</f>
        <v/>
      </c>
      <c r="U92" s="5"/>
      <c r="V92" s="5"/>
      <c r="W92" s="5"/>
      <c r="X92" s="6"/>
      <c r="Y92" s="6"/>
      <c r="Z92" s="155"/>
      <c r="AA92" s="6"/>
      <c r="AB92" s="5"/>
      <c r="AC92" s="174">
        <f>IFERROR(__xludf.DUMMYFUNCTION("""COMPUTED_VALUE"""),43798.54166666667)</f>
        <v>43798.54167</v>
      </c>
      <c r="AD92" s="175">
        <f>IFERROR(__xludf.DUMMYFUNCTION("""COMPUTED_VALUE"""),201.64)</f>
        <v>201.64</v>
      </c>
    </row>
    <row r="93">
      <c r="A93" s="1"/>
      <c r="B93" s="1"/>
      <c r="C93" s="1"/>
      <c r="D93" s="1"/>
      <c r="E93" s="1"/>
      <c r="F93" s="1"/>
      <c r="G93" s="1"/>
      <c r="H93" s="1"/>
      <c r="I93" s="1"/>
      <c r="J93" s="1"/>
      <c r="K93" s="1"/>
      <c r="L93" s="99"/>
      <c r="M93" s="1"/>
      <c r="N93" s="1"/>
      <c r="O93" s="99"/>
      <c r="P93" s="1"/>
      <c r="Q93" s="1"/>
      <c r="R93" s="1"/>
      <c r="S93" s="1"/>
      <c r="U93" s="5"/>
      <c r="V93" s="5"/>
      <c r="W93" s="5"/>
      <c r="X93" s="5"/>
      <c r="Y93" s="6"/>
      <c r="Z93" s="6"/>
      <c r="AA93" s="6"/>
      <c r="AB93" s="5"/>
      <c r="AC93" s="174">
        <f>IFERROR(__xludf.DUMMYFUNCTION("""COMPUTED_VALUE"""),43805.66666666667)</f>
        <v>43805.66667</v>
      </c>
      <c r="AD93" s="175">
        <f>IFERROR(__xludf.DUMMYFUNCTION("""COMPUTED_VALUE"""),201.05)</f>
        <v>201.05</v>
      </c>
    </row>
    <row r="94">
      <c r="A94" s="1"/>
      <c r="B94" s="1"/>
      <c r="C94" s="139"/>
      <c r="D94" s="140" t="s">
        <v>55</v>
      </c>
      <c r="E94" s="141" t="s">
        <v>56</v>
      </c>
      <c r="F94" s="141" t="s">
        <v>31</v>
      </c>
      <c r="G94" s="141" t="s">
        <v>24</v>
      </c>
      <c r="H94" s="141" t="s">
        <v>36</v>
      </c>
      <c r="I94" s="141" t="s">
        <v>57</v>
      </c>
      <c r="J94" s="142" t="s">
        <v>58</v>
      </c>
      <c r="K94" s="215" t="s">
        <v>70</v>
      </c>
      <c r="L94" s="75"/>
      <c r="M94" s="75"/>
      <c r="N94" s="188">
        <f>N69-3</f>
        <v>-3</v>
      </c>
      <c r="O94" s="145"/>
      <c r="P94" s="189" t="s">
        <v>8</v>
      </c>
      <c r="Q94" s="190" t="str">
        <f t="array" ref="Q94">if(countif(G96:H98,"=0")=10,"NA",IRR({-1*P$53,I96,I97,I98+N98}))</f>
        <v>#NUM!</v>
      </c>
      <c r="R94" s="191" t="str">
        <f>IFERROR(Q94-0.03,)</f>
        <v/>
      </c>
      <c r="S94" s="192" t="s">
        <v>60</v>
      </c>
      <c r="T94" s="193" t="str">
        <f>IFERROR(Q94+0.02,)</f>
        <v/>
      </c>
      <c r="U94" s="5"/>
      <c r="V94" s="5"/>
      <c r="W94" s="5"/>
      <c r="X94" s="5"/>
      <c r="Y94" s="6"/>
      <c r="Z94" s="6"/>
      <c r="AA94" s="6"/>
      <c r="AB94" s="5"/>
      <c r="AC94" s="174">
        <f>IFERROR(__xludf.DUMMYFUNCTION("""COMPUTED_VALUE"""),43812.66666666667)</f>
        <v>43812.66667</v>
      </c>
      <c r="AD94" s="175">
        <f>IFERROR(__xludf.DUMMYFUNCTION("""COMPUTED_VALUE"""),194.11)</f>
        <v>194.11</v>
      </c>
    </row>
    <row r="95">
      <c r="A95" s="1"/>
      <c r="B95" s="1"/>
      <c r="C95" s="137"/>
      <c r="D95" s="152"/>
      <c r="E95" s="86"/>
      <c r="F95" s="86"/>
      <c r="G95" s="86"/>
      <c r="I95" s="86"/>
      <c r="J95" s="87"/>
      <c r="K95" s="216" t="s">
        <v>71</v>
      </c>
      <c r="N95" s="153">
        <f>F98*N94</f>
        <v>0</v>
      </c>
      <c r="O95" s="12"/>
      <c r="Q95" s="47"/>
      <c r="R95" s="194" t="s">
        <v>12</v>
      </c>
      <c r="S95" s="75"/>
      <c r="T95" s="76"/>
      <c r="U95" s="5"/>
      <c r="V95" s="5"/>
      <c r="W95" s="5"/>
      <c r="X95" s="5"/>
      <c r="Y95" s="6"/>
      <c r="Z95" s="6"/>
      <c r="AA95" s="6"/>
      <c r="AB95" s="5"/>
      <c r="AC95" s="174">
        <f>IFERROR(__xludf.DUMMYFUNCTION("""COMPUTED_VALUE"""),43819.66666666667)</f>
        <v>43819.66667</v>
      </c>
      <c r="AD95" s="175">
        <f>IFERROR(__xludf.DUMMYFUNCTION("""COMPUTED_VALUE"""),206.3)</f>
        <v>206.3</v>
      </c>
    </row>
    <row r="96">
      <c r="A96" s="1"/>
      <c r="B96" s="1"/>
      <c r="C96" s="164">
        <f t="shared" ref="C96:C98" si="76">C88</f>
        <v>2026</v>
      </c>
      <c r="D96" s="157">
        <f>D$53*(1+E96)</f>
        <v>200966000000</v>
      </c>
      <c r="E96" s="158">
        <f>E71</f>
        <v>0</v>
      </c>
      <c r="F96" s="157">
        <f t="shared" ref="F96:F98" si="77">G96*D96</f>
        <v>0</v>
      </c>
      <c r="G96" s="158">
        <f t="shared" ref="G96:H96" si="75">G71</f>
        <v>0</v>
      </c>
      <c r="H96" s="159">
        <f t="shared" si="75"/>
        <v>0</v>
      </c>
      <c r="I96" s="157">
        <f t="shared" ref="I96:I98" si="79">H96*D96</f>
        <v>0</v>
      </c>
      <c r="J96" s="160">
        <f t="shared" ref="J96:J98" si="80">I96/(1+N$74)^(C96-C$71+1)</f>
        <v>0</v>
      </c>
      <c r="K96" s="41" t="s">
        <v>37</v>
      </c>
      <c r="N96" s="153">
        <f>M$53</f>
        <v>48024000000</v>
      </c>
      <c r="O96" s="12"/>
      <c r="P96" s="161" t="s">
        <v>63</v>
      </c>
      <c r="Q96" s="162" t="str">
        <f>if(Q94="NA","-",(N100/P$53)*I$6)</f>
        <v>#NUM!</v>
      </c>
      <c r="R96" s="195"/>
      <c r="S96" s="195"/>
      <c r="T96" s="196"/>
      <c r="U96" s="5"/>
      <c r="V96" s="5"/>
      <c r="W96" s="60"/>
      <c r="X96" s="5"/>
      <c r="Y96" s="6"/>
      <c r="Z96" s="6"/>
      <c r="AA96" s="6"/>
      <c r="AB96" s="5"/>
      <c r="AC96" s="174">
        <f>IFERROR(__xludf.DUMMYFUNCTION("""COMPUTED_VALUE"""),43826.66666666667)</f>
        <v>43826.66667</v>
      </c>
      <c r="AD96" s="175">
        <f>IFERROR(__xludf.DUMMYFUNCTION("""COMPUTED_VALUE"""),208.1)</f>
        <v>208.1</v>
      </c>
    </row>
    <row r="97">
      <c r="A97" s="1"/>
      <c r="B97" s="1"/>
      <c r="C97" s="164">
        <f t="shared" si="76"/>
        <v>2027</v>
      </c>
      <c r="D97" s="157">
        <f t="shared" ref="D97:D98" si="81">D96*(1+E97)</f>
        <v>198956340000</v>
      </c>
      <c r="E97" s="171">
        <f t="shared" ref="E97:E98" si="82">E96-1%</f>
        <v>-0.01</v>
      </c>
      <c r="F97" s="166">
        <f t="shared" si="77"/>
        <v>0</v>
      </c>
      <c r="G97" s="167">
        <f t="shared" ref="G97:H97" si="78">G96</f>
        <v>0</v>
      </c>
      <c r="H97" s="165">
        <f t="shared" si="78"/>
        <v>0</v>
      </c>
      <c r="I97" s="157">
        <f t="shared" si="79"/>
        <v>0</v>
      </c>
      <c r="J97" s="160">
        <f t="shared" si="80"/>
        <v>0</v>
      </c>
      <c r="K97" s="41" t="s">
        <v>64</v>
      </c>
      <c r="N97" s="168">
        <v>0.0</v>
      </c>
      <c r="O97" s="197"/>
      <c r="Q97" s="47"/>
      <c r="R97" s="220" t="str">
        <f>IFERROR(Q96-(Q96*0.05),)</f>
        <v/>
      </c>
      <c r="S97" s="192" t="s">
        <v>60</v>
      </c>
      <c r="T97" s="221" t="str">
        <f>IFERROR(Q96+(Q96*0.05),)</f>
        <v/>
      </c>
      <c r="U97" s="5"/>
      <c r="V97" s="5"/>
      <c r="W97" s="60"/>
      <c r="X97" s="5"/>
      <c r="Y97" s="6"/>
      <c r="Z97" s="6"/>
      <c r="AA97" s="6"/>
      <c r="AB97" s="5"/>
      <c r="AC97" s="174">
        <f>IFERROR(__xludf.DUMMYFUNCTION("""COMPUTED_VALUE"""),43833.66666666667)</f>
        <v>43833.66667</v>
      </c>
      <c r="AD97" s="175">
        <f>IFERROR(__xludf.DUMMYFUNCTION("""COMPUTED_VALUE"""),208.67)</f>
        <v>208.67</v>
      </c>
    </row>
    <row r="98">
      <c r="A98" s="1"/>
      <c r="B98" s="1"/>
      <c r="C98" s="164">
        <f t="shared" si="76"/>
        <v>2028</v>
      </c>
      <c r="D98" s="157">
        <f t="shared" si="81"/>
        <v>194977213200</v>
      </c>
      <c r="E98" s="171">
        <f t="shared" si="82"/>
        <v>-0.02</v>
      </c>
      <c r="F98" s="166">
        <f t="shared" si="77"/>
        <v>0</v>
      </c>
      <c r="G98" s="167">
        <f t="shared" ref="G98:H98" si="83">G97</f>
        <v>0</v>
      </c>
      <c r="H98" s="165">
        <f t="shared" si="83"/>
        <v>0</v>
      </c>
      <c r="I98" s="157">
        <f t="shared" si="79"/>
        <v>0</v>
      </c>
      <c r="J98" s="160">
        <f t="shared" si="80"/>
        <v>0</v>
      </c>
      <c r="K98" s="216" t="s">
        <v>72</v>
      </c>
      <c r="N98" s="153">
        <f>N95-N96+N97*1000000</f>
        <v>-48024000000</v>
      </c>
      <c r="O98" s="12"/>
      <c r="Q98" s="47"/>
      <c r="R98" s="194"/>
      <c r="S98" s="75"/>
      <c r="T98" s="76"/>
      <c r="U98" s="5"/>
      <c r="V98" s="5"/>
      <c r="W98" s="60"/>
      <c r="X98" s="5"/>
      <c r="Y98" s="6"/>
      <c r="Z98" s="6"/>
      <c r="AA98" s="6"/>
      <c r="AB98" s="5"/>
      <c r="AC98" s="174">
        <f>IFERROR(__xludf.DUMMYFUNCTION("""COMPUTED_VALUE"""),43840.66666666667)</f>
        <v>43840.66667</v>
      </c>
      <c r="AD98" s="175">
        <f>IFERROR(__xludf.DUMMYFUNCTION("""COMPUTED_VALUE"""),218.06)</f>
        <v>218.06</v>
      </c>
    </row>
    <row r="99">
      <c r="A99" s="1"/>
      <c r="B99" s="1"/>
      <c r="C99" s="164"/>
      <c r="D99" s="157"/>
      <c r="E99" s="167"/>
      <c r="F99" s="166"/>
      <c r="G99" s="167"/>
      <c r="H99" s="165"/>
      <c r="I99" s="157"/>
      <c r="J99" s="160"/>
      <c r="K99" s="69" t="s">
        <v>66</v>
      </c>
      <c r="N99" s="172">
        <f>N91</f>
        <v>0.1</v>
      </c>
      <c r="O99" s="12"/>
      <c r="P99" s="219" t="s">
        <v>73</v>
      </c>
      <c r="Q99" s="173" t="str">
        <f t="array" ref="Q99">if(Q94="NA","-",(npv(Q94,I96:I97,I98)*(1+Q94)^3+N98)/P$53-1)</f>
        <v>#NUM!</v>
      </c>
      <c r="R99" s="195"/>
      <c r="S99" s="195"/>
      <c r="T99" s="196"/>
      <c r="U99" s="5"/>
      <c r="V99" s="5"/>
      <c r="W99" s="131"/>
      <c r="X99" s="5"/>
      <c r="Y99" s="6"/>
      <c r="Z99" s="6"/>
      <c r="AA99" s="6"/>
      <c r="AB99" s="5"/>
      <c r="AC99" s="174">
        <f>IFERROR(__xludf.DUMMYFUNCTION("""COMPUTED_VALUE"""),43847.66666666667)</f>
        <v>43847.66667</v>
      </c>
      <c r="AD99" s="175">
        <f>IFERROR(__xludf.DUMMYFUNCTION("""COMPUTED_VALUE"""),222.14)</f>
        <v>222.14</v>
      </c>
    </row>
    <row r="100">
      <c r="A100" s="1"/>
      <c r="B100" s="1"/>
      <c r="C100" s="176"/>
      <c r="D100" s="177"/>
      <c r="E100" s="180"/>
      <c r="F100" s="179"/>
      <c r="G100" s="180"/>
      <c r="H100" s="181"/>
      <c r="I100" s="177"/>
      <c r="J100" s="182"/>
      <c r="K100" s="183" t="s">
        <v>74</v>
      </c>
      <c r="L100" s="86"/>
      <c r="M100" s="86"/>
      <c r="N100" s="184">
        <f>sum(J96:J98)+PV(N99,5,0,-1*N98)</f>
        <v>-29819125619</v>
      </c>
      <c r="O100" s="202"/>
      <c r="P100" s="86"/>
      <c r="Q100" s="87"/>
      <c r="R100" s="203" t="str">
        <f>IF(Q99=0,Q99-0.03,)</f>
        <v>#NUM!</v>
      </c>
      <c r="S100" s="192" t="s">
        <v>60</v>
      </c>
      <c r="T100" s="204" t="str">
        <f>IF(Q99=0,Q99+0.02,)</f>
        <v>#NUM!</v>
      </c>
      <c r="U100" s="5"/>
      <c r="V100" s="5"/>
      <c r="W100" s="131"/>
      <c r="X100" s="5"/>
      <c r="Y100" s="6"/>
      <c r="Z100" s="6"/>
      <c r="AA100" s="6"/>
      <c r="AB100" s="5"/>
      <c r="AC100" s="174">
        <f>IFERROR(__xludf.DUMMYFUNCTION("""COMPUTED_VALUE"""),43854.66666666667)</f>
        <v>43854.66667</v>
      </c>
      <c r="AD100" s="175">
        <f>IFERROR(__xludf.DUMMYFUNCTION("""COMPUTED_VALUE"""),217.94)</f>
        <v>217.94</v>
      </c>
    </row>
    <row r="101">
      <c r="A101" s="1"/>
      <c r="B101" s="1"/>
      <c r="C101" s="1"/>
      <c r="D101" s="1"/>
      <c r="E101" s="1"/>
      <c r="F101" s="1"/>
      <c r="G101" s="1"/>
      <c r="H101" s="1"/>
      <c r="I101" s="1"/>
      <c r="J101" s="1"/>
      <c r="K101" s="1"/>
      <c r="L101" s="99"/>
      <c r="M101" s="1"/>
      <c r="N101" s="1"/>
      <c r="O101" s="8"/>
      <c r="P101" s="1"/>
      <c r="Q101" s="1"/>
      <c r="R101" s="1"/>
      <c r="S101" s="1"/>
      <c r="U101" s="5"/>
      <c r="V101" s="5"/>
      <c r="W101" s="5"/>
      <c r="X101" s="5"/>
      <c r="Y101" s="6"/>
      <c r="Z101" s="6"/>
      <c r="AA101" s="6"/>
      <c r="AB101" s="5"/>
      <c r="AC101" s="174">
        <f>IFERROR(__xludf.DUMMYFUNCTION("""COMPUTED_VALUE"""),43861.66666666667)</f>
        <v>43861.66667</v>
      </c>
      <c r="AD101" s="175">
        <f>IFERROR(__xludf.DUMMYFUNCTION("""COMPUTED_VALUE"""),201.91)</f>
        <v>201.91</v>
      </c>
    </row>
    <row r="102">
      <c r="A102" s="1"/>
      <c r="B102" s="1"/>
      <c r="C102" s="139"/>
      <c r="D102" s="140" t="s">
        <v>55</v>
      </c>
      <c r="E102" s="141" t="s">
        <v>56</v>
      </c>
      <c r="F102" s="141" t="s">
        <v>31</v>
      </c>
      <c r="G102" s="141" t="s">
        <v>24</v>
      </c>
      <c r="H102" s="141" t="s">
        <v>36</v>
      </c>
      <c r="I102" s="141" t="s">
        <v>57</v>
      </c>
      <c r="J102" s="142" t="s">
        <v>58</v>
      </c>
      <c r="K102" s="215" t="s">
        <v>70</v>
      </c>
      <c r="L102" s="75"/>
      <c r="M102" s="75"/>
      <c r="N102" s="188">
        <f>N77-2</f>
        <v>-2</v>
      </c>
      <c r="O102" s="145"/>
      <c r="P102" s="189" t="s">
        <v>8</v>
      </c>
      <c r="Q102" s="190" t="str">
        <f t="array" ref="Q102">if(countif(G104:H106,"=0")=10,"NA",IRR({-1*P$53,I104,I105,I106+N106}))</f>
        <v>#NUM!</v>
      </c>
      <c r="R102" s="205" t="str">
        <f>IFERROR(Q102-0.03,)</f>
        <v/>
      </c>
      <c r="S102" s="206" t="s">
        <v>60</v>
      </c>
      <c r="T102" s="207" t="str">
        <f>IFERROR(Q102+0.02,)</f>
        <v/>
      </c>
      <c r="U102" s="5"/>
      <c r="V102" s="5"/>
      <c r="W102" s="5"/>
      <c r="X102" s="5"/>
      <c r="Y102" s="6"/>
      <c r="Z102" s="6"/>
      <c r="AA102" s="6"/>
      <c r="AB102" s="5"/>
      <c r="AC102" s="174">
        <f>IFERROR(__xludf.DUMMYFUNCTION("""COMPUTED_VALUE"""),43868.66666666667)</f>
        <v>43868.66667</v>
      </c>
      <c r="AD102" s="175">
        <f>IFERROR(__xludf.DUMMYFUNCTION("""COMPUTED_VALUE"""),212.33)</f>
        <v>212.33</v>
      </c>
    </row>
    <row r="103">
      <c r="A103" s="1"/>
      <c r="B103" s="1"/>
      <c r="C103" s="137"/>
      <c r="D103" s="152"/>
      <c r="E103" s="86"/>
      <c r="F103" s="86"/>
      <c r="G103" s="86"/>
      <c r="I103" s="86"/>
      <c r="J103" s="87"/>
      <c r="K103" s="216" t="s">
        <v>71</v>
      </c>
      <c r="N103" s="153">
        <f>F106*N102</f>
        <v>0</v>
      </c>
      <c r="O103" s="12"/>
      <c r="Q103" s="47"/>
      <c r="R103" s="208" t="s">
        <v>15</v>
      </c>
      <c r="S103" s="75"/>
      <c r="T103" s="76"/>
      <c r="U103" s="5"/>
      <c r="V103" s="5"/>
      <c r="W103" s="5"/>
      <c r="X103" s="5"/>
      <c r="Y103" s="6"/>
      <c r="Z103" s="6"/>
      <c r="AA103" s="6"/>
      <c r="AB103" s="5"/>
      <c r="AC103" s="174">
        <f>IFERROR(__xludf.DUMMYFUNCTION("""COMPUTED_VALUE"""),43875.66666666667)</f>
        <v>43875.66667</v>
      </c>
      <c r="AD103" s="175">
        <f>IFERROR(__xludf.DUMMYFUNCTION("""COMPUTED_VALUE"""),214.18)</f>
        <v>214.18</v>
      </c>
    </row>
    <row r="104">
      <c r="A104" s="1"/>
      <c r="B104" s="1"/>
      <c r="C104" s="164">
        <f t="shared" ref="C104:C106" si="85">C96</f>
        <v>2026</v>
      </c>
      <c r="D104" s="157">
        <f>D$53*(1+E104)</f>
        <v>200966000000</v>
      </c>
      <c r="E104" s="158">
        <f>E79</f>
        <v>0</v>
      </c>
      <c r="F104" s="157">
        <f t="shared" ref="F104:F106" si="86">G104*D104</f>
        <v>0</v>
      </c>
      <c r="G104" s="158">
        <f t="shared" ref="G104:H104" si="84">G79</f>
        <v>0</v>
      </c>
      <c r="H104" s="159">
        <f t="shared" si="84"/>
        <v>0</v>
      </c>
      <c r="I104" s="157">
        <f t="shared" ref="I104:I106" si="88">H104*D104</f>
        <v>0</v>
      </c>
      <c r="J104" s="160">
        <f t="shared" ref="J104:J106" si="89">I104/(1+N$82)^(C104-C$79+1)</f>
        <v>0</v>
      </c>
      <c r="K104" s="41" t="s">
        <v>37</v>
      </c>
      <c r="N104" s="153">
        <f>M$53</f>
        <v>48024000000</v>
      </c>
      <c r="O104" s="12"/>
      <c r="P104" s="161" t="s">
        <v>63</v>
      </c>
      <c r="Q104" s="162" t="str">
        <f>if(Q102="NA","-",(N108/P$53)*I$6)</f>
        <v>#NUM!</v>
      </c>
      <c r="R104" s="209"/>
      <c r="S104" s="209"/>
      <c r="T104" s="210"/>
      <c r="U104" s="5"/>
      <c r="V104" s="5"/>
      <c r="W104" s="60"/>
      <c r="X104" s="5"/>
      <c r="Y104" s="6"/>
      <c r="Z104" s="6"/>
      <c r="AA104" s="6"/>
      <c r="AB104" s="5"/>
      <c r="AC104" s="174">
        <f>IFERROR(__xludf.DUMMYFUNCTION("""COMPUTED_VALUE"""),43882.66666666667)</f>
        <v>43882.66667</v>
      </c>
      <c r="AD104" s="175">
        <f>IFERROR(__xludf.DUMMYFUNCTION("""COMPUTED_VALUE"""),210.18)</f>
        <v>210.18</v>
      </c>
    </row>
    <row r="105">
      <c r="A105" s="1"/>
      <c r="B105" s="1"/>
      <c r="C105" s="164">
        <f t="shared" si="85"/>
        <v>2027</v>
      </c>
      <c r="D105" s="157">
        <f t="shared" ref="D105:D106" si="90">D104*(1+E105)</f>
        <v>198956340000</v>
      </c>
      <c r="E105" s="171">
        <f t="shared" ref="E105:E106" si="91">E104-1%</f>
        <v>-0.01</v>
      </c>
      <c r="F105" s="166">
        <f t="shared" si="86"/>
        <v>0</v>
      </c>
      <c r="G105" s="167">
        <f t="shared" ref="G105:H105" si="87">G104</f>
        <v>0</v>
      </c>
      <c r="H105" s="165">
        <f t="shared" si="87"/>
        <v>0</v>
      </c>
      <c r="I105" s="157">
        <f t="shared" si="88"/>
        <v>0</v>
      </c>
      <c r="J105" s="160">
        <f t="shared" si="89"/>
        <v>0</v>
      </c>
      <c r="K105" s="41" t="s">
        <v>64</v>
      </c>
      <c r="N105" s="168">
        <v>0.0</v>
      </c>
      <c r="O105" s="12"/>
      <c r="Q105" s="47"/>
      <c r="R105" s="222" t="str">
        <f>IFERROR(Q104-(Q104*0.05),)</f>
        <v/>
      </c>
      <c r="S105" s="206" t="s">
        <v>60</v>
      </c>
      <c r="T105" s="223" t="str">
        <f>IFERROR(Q104+(Q104*0.05),)</f>
        <v/>
      </c>
      <c r="U105" s="5"/>
      <c r="V105" s="5"/>
      <c r="W105" s="60"/>
      <c r="X105" s="5"/>
      <c r="Y105" s="6"/>
      <c r="Z105" s="6"/>
      <c r="AA105" s="6"/>
      <c r="AB105" s="5"/>
      <c r="AC105" s="174">
        <f>IFERROR(__xludf.DUMMYFUNCTION("""COMPUTED_VALUE"""),43889.66666666667)</f>
        <v>43889.66667</v>
      </c>
      <c r="AD105" s="175">
        <f>IFERROR(__xludf.DUMMYFUNCTION("""COMPUTED_VALUE"""),192.47)</f>
        <v>192.47</v>
      </c>
    </row>
    <row r="106">
      <c r="A106" s="1"/>
      <c r="B106" s="1"/>
      <c r="C106" s="164">
        <f t="shared" si="85"/>
        <v>2028</v>
      </c>
      <c r="D106" s="157">
        <f t="shared" si="90"/>
        <v>194977213200</v>
      </c>
      <c r="E106" s="171">
        <f t="shared" si="91"/>
        <v>-0.02</v>
      </c>
      <c r="F106" s="166">
        <f t="shared" si="86"/>
        <v>0</v>
      </c>
      <c r="G106" s="167">
        <f t="shared" ref="G106:H106" si="92">G105</f>
        <v>0</v>
      </c>
      <c r="H106" s="165">
        <f t="shared" si="92"/>
        <v>0</v>
      </c>
      <c r="I106" s="157">
        <f t="shared" si="88"/>
        <v>0</v>
      </c>
      <c r="J106" s="160">
        <f t="shared" si="89"/>
        <v>0</v>
      </c>
      <c r="K106" s="216" t="s">
        <v>72</v>
      </c>
      <c r="N106" s="153">
        <f>N103-N104+N105*1000000</f>
        <v>-48024000000</v>
      </c>
      <c r="O106" s="12"/>
      <c r="Q106" s="47"/>
      <c r="R106" s="208"/>
      <c r="S106" s="75"/>
      <c r="T106" s="76"/>
      <c r="U106" s="5"/>
      <c r="V106" s="5"/>
      <c r="W106" s="60"/>
      <c r="X106" s="5"/>
      <c r="Y106" s="6"/>
      <c r="Z106" s="6"/>
      <c r="AA106" s="6"/>
      <c r="AB106" s="5"/>
      <c r="AC106" s="174">
        <f>IFERROR(__xludf.DUMMYFUNCTION("""COMPUTED_VALUE"""),43896.66666666667)</f>
        <v>43896.66667</v>
      </c>
      <c r="AD106" s="175">
        <f>IFERROR(__xludf.DUMMYFUNCTION("""COMPUTED_VALUE"""),181.09)</f>
        <v>181.09</v>
      </c>
    </row>
    <row r="107">
      <c r="A107" s="1"/>
      <c r="B107" s="1"/>
      <c r="C107" s="164"/>
      <c r="D107" s="157"/>
      <c r="E107" s="167"/>
      <c r="F107" s="166"/>
      <c r="G107" s="167"/>
      <c r="H107" s="165"/>
      <c r="I107" s="157"/>
      <c r="J107" s="160"/>
      <c r="K107" s="69" t="s">
        <v>66</v>
      </c>
      <c r="N107" s="172">
        <f>N91</f>
        <v>0.1</v>
      </c>
      <c r="O107" s="12"/>
      <c r="P107" s="219" t="s">
        <v>73</v>
      </c>
      <c r="Q107" s="173" t="str">
        <f t="array" ref="Q107">if(Q102="NA","-",(npv(Q102,I104:I105,I106)*(1+Q102)^3+N106)/P$53-1)</f>
        <v>#NUM!</v>
      </c>
      <c r="R107" s="209"/>
      <c r="S107" s="209"/>
      <c r="T107" s="210"/>
      <c r="U107" s="5"/>
      <c r="V107" s="5"/>
      <c r="W107" s="131"/>
      <c r="X107" s="5"/>
      <c r="Y107" s="6"/>
      <c r="Z107" s="6"/>
      <c r="AA107" s="6"/>
      <c r="AB107" s="5"/>
      <c r="AC107" s="174">
        <f>IFERROR(__xludf.DUMMYFUNCTION("""COMPUTED_VALUE"""),43903.66666666667)</f>
        <v>43903.66667</v>
      </c>
      <c r="AD107" s="175">
        <f>IFERROR(__xludf.DUMMYFUNCTION("""COMPUTED_VALUE"""),170.28)</f>
        <v>170.28</v>
      </c>
    </row>
    <row r="108">
      <c r="A108" s="1"/>
      <c r="B108" s="1"/>
      <c r="C108" s="176"/>
      <c r="D108" s="177"/>
      <c r="E108" s="180"/>
      <c r="F108" s="179"/>
      <c r="G108" s="180"/>
      <c r="H108" s="181"/>
      <c r="I108" s="177"/>
      <c r="J108" s="182"/>
      <c r="K108" s="183" t="s">
        <v>74</v>
      </c>
      <c r="L108" s="86"/>
      <c r="M108" s="86"/>
      <c r="N108" s="184">
        <f>sum(J104:J106)+PV(N107,5,0,-1*N106)</f>
        <v>-29819125619</v>
      </c>
      <c r="O108" s="202"/>
      <c r="P108" s="86"/>
      <c r="Q108" s="87"/>
      <c r="R108" s="213" t="str">
        <f>IF(Q107=0,Q107-0.03,)</f>
        <v>#NUM!</v>
      </c>
      <c r="S108" s="206" t="s">
        <v>60</v>
      </c>
      <c r="T108" s="214" t="str">
        <f>IF(Q107=0,Q107+0.02,)</f>
        <v>#NUM!</v>
      </c>
      <c r="U108" s="5"/>
      <c r="V108" s="5"/>
      <c r="W108" s="131"/>
      <c r="X108" s="5"/>
      <c r="Y108" s="6"/>
      <c r="Z108" s="6"/>
      <c r="AA108" s="6"/>
      <c r="AB108" s="5"/>
      <c r="AC108" s="174">
        <f>IFERROR(__xludf.DUMMYFUNCTION("""COMPUTED_VALUE"""),43910.66666666667)</f>
        <v>43910.66667</v>
      </c>
      <c r="AD108" s="175">
        <f>IFERROR(__xludf.DUMMYFUNCTION("""COMPUTED_VALUE"""),149.73)</f>
        <v>149.73</v>
      </c>
    </row>
    <row r="109">
      <c r="A109" s="1"/>
      <c r="B109" s="1"/>
      <c r="C109" s="6"/>
      <c r="D109" s="6"/>
      <c r="E109" s="6"/>
      <c r="F109" s="6"/>
      <c r="G109" s="6"/>
      <c r="H109" s="6"/>
      <c r="I109" s="6"/>
      <c r="J109" s="6"/>
      <c r="K109" s="6"/>
      <c r="L109" s="6"/>
      <c r="M109" s="6"/>
      <c r="N109" s="6"/>
      <c r="O109" s="6"/>
      <c r="P109" s="6"/>
      <c r="Q109" s="6"/>
      <c r="R109" s="6"/>
      <c r="S109" s="6"/>
      <c r="T109" s="6"/>
      <c r="U109" s="5"/>
      <c r="V109" s="6"/>
      <c r="W109" s="6"/>
      <c r="X109" s="6"/>
      <c r="Y109" s="6"/>
      <c r="Z109" s="6"/>
      <c r="AA109" s="6"/>
      <c r="AB109" s="5"/>
      <c r="AC109" s="174">
        <f>IFERROR(__xludf.DUMMYFUNCTION("""COMPUTED_VALUE"""),43917.66666666667)</f>
        <v>43917.66667</v>
      </c>
      <c r="AD109" s="175">
        <f>IFERROR(__xludf.DUMMYFUNCTION("""COMPUTED_VALUE"""),156.79)</f>
        <v>156.79</v>
      </c>
    </row>
    <row r="110">
      <c r="A110" s="1"/>
      <c r="B110" s="1"/>
      <c r="C110" s="224" t="s">
        <v>75</v>
      </c>
      <c r="D110" s="3"/>
      <c r="E110" s="3"/>
      <c r="F110" s="3"/>
      <c r="G110" s="3"/>
      <c r="H110" s="3"/>
      <c r="I110" s="3"/>
      <c r="J110" s="3"/>
      <c r="K110" s="3"/>
      <c r="L110" s="3"/>
      <c r="M110" s="3"/>
      <c r="N110" s="4"/>
      <c r="P110" s="224" t="s">
        <v>76</v>
      </c>
      <c r="Q110" s="3"/>
      <c r="R110" s="3"/>
      <c r="S110" s="3"/>
      <c r="T110" s="4"/>
      <c r="U110" s="5"/>
      <c r="V110" s="6"/>
      <c r="W110" s="6"/>
      <c r="X110" s="6"/>
      <c r="Y110" s="6"/>
      <c r="Z110" s="6"/>
      <c r="AA110" s="6"/>
      <c r="AB110" s="5"/>
      <c r="AC110" s="174">
        <f>IFERROR(__xludf.DUMMYFUNCTION("""COMPUTED_VALUE"""),43924.66666666667)</f>
        <v>43924.66667</v>
      </c>
      <c r="AD110" s="175">
        <f>IFERROR(__xludf.DUMMYFUNCTION("""COMPUTED_VALUE"""),154.18)</f>
        <v>154.18</v>
      </c>
    </row>
    <row r="111">
      <c r="A111" s="1"/>
      <c r="B111" s="1"/>
      <c r="C111" s="225" t="s">
        <v>77</v>
      </c>
      <c r="D111" s="3"/>
      <c r="E111" s="3"/>
      <c r="F111" s="3"/>
      <c r="G111" s="3"/>
      <c r="H111" s="3"/>
      <c r="I111" s="3"/>
      <c r="J111" s="3"/>
      <c r="K111" s="3"/>
      <c r="L111" s="3"/>
      <c r="M111" s="4"/>
      <c r="N111" s="226" t="s">
        <v>78</v>
      </c>
      <c r="P111" s="227" t="s">
        <v>79</v>
      </c>
      <c r="Q111" s="228" t="s">
        <v>80</v>
      </c>
      <c r="R111" s="229" t="s">
        <v>81</v>
      </c>
      <c r="S111" s="229" t="s">
        <v>82</v>
      </c>
      <c r="T111" s="230" t="s">
        <v>83</v>
      </c>
      <c r="U111" s="5"/>
      <c r="V111" s="6"/>
      <c r="W111" s="6"/>
      <c r="X111" s="6"/>
      <c r="Y111" s="6"/>
      <c r="Z111" s="6"/>
      <c r="AA111" s="6"/>
      <c r="AB111" s="5"/>
      <c r="AC111" s="174">
        <f>IFERROR(__xludf.DUMMYFUNCTION("""COMPUTED_VALUE"""),43930.66666666667)</f>
        <v>43930.66667</v>
      </c>
      <c r="AD111" s="175">
        <f>IFERROR(__xludf.DUMMYFUNCTION("""COMPUTED_VALUE"""),175.19)</f>
        <v>175.19</v>
      </c>
    </row>
    <row r="112">
      <c r="A112" s="1"/>
      <c r="B112" s="1"/>
      <c r="C112" s="231" t="s">
        <v>84</v>
      </c>
      <c r="D112" s="3"/>
      <c r="E112" s="3"/>
      <c r="F112" s="3"/>
      <c r="G112" s="3"/>
      <c r="H112" s="3"/>
      <c r="I112" s="3"/>
      <c r="J112" s="3"/>
      <c r="K112" s="3"/>
      <c r="L112" s="3"/>
      <c r="M112" s="4"/>
      <c r="N112" s="226" t="s">
        <v>78</v>
      </c>
      <c r="P112" s="232">
        <f>IFERROR(__xludf.DUMMYFUNCTION("IF($C$3=""Static"",ARRAYFORMULA(P112:T116),if(ARRAY_CONSTRAIN(IMPORTHTML(""https://finviz.com/quote.ashx?t=""&amp;C5,""table"",""11""),10,5)=""[Table]"", """",CHOOSEROWS(IMPORTHTML(""https://finviz.com/quote.ashx?t=""&amp;C5,""table"",""11""),2,3,4,5,6)))"),0.0)</f>
        <v>0</v>
      </c>
      <c r="Q112" s="233"/>
      <c r="R112" s="234"/>
      <c r="S112" s="233"/>
      <c r="T112" s="235"/>
      <c r="U112" s="5"/>
      <c r="V112" s="6"/>
      <c r="W112" s="6"/>
      <c r="X112" s="6"/>
      <c r="Y112" s="6"/>
      <c r="Z112" s="6"/>
      <c r="AA112" s="6"/>
      <c r="AB112" s="5"/>
      <c r="AC112" s="174">
        <f>IFERROR(__xludf.DUMMYFUNCTION("""COMPUTED_VALUE"""),43938.66666666667)</f>
        <v>43938.66667</v>
      </c>
      <c r="AD112" s="175">
        <f>IFERROR(__xludf.DUMMYFUNCTION("""COMPUTED_VALUE"""),179.24)</f>
        <v>179.24</v>
      </c>
    </row>
    <row r="113">
      <c r="A113" s="1"/>
      <c r="B113" s="1"/>
      <c r="C113" s="225" t="s">
        <v>85</v>
      </c>
      <c r="D113" s="3"/>
      <c r="E113" s="3"/>
      <c r="F113" s="3"/>
      <c r="G113" s="3"/>
      <c r="H113" s="3"/>
      <c r="I113" s="3"/>
      <c r="J113" s="3"/>
      <c r="K113" s="3"/>
      <c r="L113" s="3"/>
      <c r="M113" s="4"/>
      <c r="N113" s="226" t="s">
        <v>78</v>
      </c>
      <c r="P113" s="236"/>
      <c r="Q113" s="233"/>
      <c r="R113" s="234"/>
      <c r="S113" s="233"/>
      <c r="T113" s="235"/>
      <c r="U113" s="5"/>
      <c r="V113" s="6"/>
      <c r="W113" s="6"/>
      <c r="X113" s="6"/>
      <c r="Y113" s="6"/>
      <c r="Z113" s="6"/>
      <c r="AA113" s="6"/>
      <c r="AB113" s="5"/>
      <c r="AC113" s="174">
        <f>IFERROR(__xludf.DUMMYFUNCTION("""COMPUTED_VALUE"""),43945.66666666667)</f>
        <v>43945.66667</v>
      </c>
      <c r="AD113" s="175">
        <f>IFERROR(__xludf.DUMMYFUNCTION("""COMPUTED_VALUE"""),190.07)</f>
        <v>190.07</v>
      </c>
    </row>
    <row r="114">
      <c r="A114" s="1"/>
      <c r="B114" s="1"/>
      <c r="C114" s="231" t="s">
        <v>86</v>
      </c>
      <c r="D114" s="3"/>
      <c r="E114" s="3"/>
      <c r="F114" s="3"/>
      <c r="G114" s="3"/>
      <c r="H114" s="3"/>
      <c r="I114" s="3"/>
      <c r="J114" s="3"/>
      <c r="K114" s="3"/>
      <c r="L114" s="3"/>
      <c r="M114" s="4"/>
      <c r="N114" s="226" t="s">
        <v>78</v>
      </c>
      <c r="P114" s="236"/>
      <c r="Q114" s="233"/>
      <c r="R114" s="234"/>
      <c r="S114" s="233"/>
      <c r="T114" s="235"/>
      <c r="U114" s="5"/>
      <c r="V114" s="6"/>
      <c r="W114" s="6"/>
      <c r="X114" s="6"/>
      <c r="Y114" s="6"/>
      <c r="Z114" s="6"/>
      <c r="AA114" s="6"/>
      <c r="AB114" s="5"/>
      <c r="AC114" s="174">
        <f>IFERROR(__xludf.DUMMYFUNCTION("""COMPUTED_VALUE"""),43952.66666666667)</f>
        <v>43952.66667</v>
      </c>
      <c r="AD114" s="175">
        <f>IFERROR(__xludf.DUMMYFUNCTION("""COMPUTED_VALUE"""),202.27)</f>
        <v>202.27</v>
      </c>
    </row>
    <row r="115">
      <c r="A115" s="1"/>
      <c r="B115" s="1"/>
      <c r="C115" s="225" t="s">
        <v>87</v>
      </c>
      <c r="D115" s="3"/>
      <c r="E115" s="3"/>
      <c r="F115" s="3"/>
      <c r="G115" s="3"/>
      <c r="H115" s="3"/>
      <c r="I115" s="3"/>
      <c r="J115" s="3"/>
      <c r="K115" s="3"/>
      <c r="L115" s="3"/>
      <c r="M115" s="4"/>
      <c r="N115" s="226" t="s">
        <v>78</v>
      </c>
      <c r="P115" s="236"/>
      <c r="Q115" s="233"/>
      <c r="R115" s="234"/>
      <c r="S115" s="233"/>
      <c r="T115" s="235"/>
      <c r="U115" s="5"/>
      <c r="V115" s="6"/>
      <c r="W115" s="6"/>
      <c r="X115" s="6"/>
      <c r="Y115" s="6"/>
      <c r="Z115" s="6"/>
      <c r="AA115" s="6"/>
      <c r="AB115" s="5"/>
      <c r="AC115" s="174">
        <f>IFERROR(__xludf.DUMMYFUNCTION("""COMPUTED_VALUE"""),43959.66666666667)</f>
        <v>43959.66667</v>
      </c>
      <c r="AD115" s="175">
        <f>IFERROR(__xludf.DUMMYFUNCTION("""COMPUTED_VALUE"""),212.35)</f>
        <v>212.35</v>
      </c>
    </row>
    <row r="116">
      <c r="A116" s="1"/>
      <c r="B116" s="1"/>
      <c r="C116" s="231" t="s">
        <v>88</v>
      </c>
      <c r="D116" s="3"/>
      <c r="E116" s="3"/>
      <c r="F116" s="3"/>
      <c r="G116" s="3"/>
      <c r="H116" s="3"/>
      <c r="I116" s="3"/>
      <c r="J116" s="3"/>
      <c r="K116" s="3"/>
      <c r="L116" s="3"/>
      <c r="M116" s="4"/>
      <c r="N116" s="226" t="s">
        <v>78</v>
      </c>
      <c r="P116" s="236"/>
      <c r="Q116" s="233"/>
      <c r="R116" s="234"/>
      <c r="S116" s="233"/>
      <c r="T116" s="235"/>
      <c r="U116" s="5"/>
      <c r="V116" s="6"/>
      <c r="W116" s="6"/>
      <c r="X116" s="6"/>
      <c r="Y116" s="6"/>
      <c r="Z116" s="6"/>
      <c r="AA116" s="6"/>
      <c r="AB116" s="5"/>
      <c r="AC116" s="174">
        <f>IFERROR(__xludf.DUMMYFUNCTION("""COMPUTED_VALUE"""),43966.66666666667)</f>
        <v>43966.66667</v>
      </c>
      <c r="AD116" s="175">
        <f>IFERROR(__xludf.DUMMYFUNCTION("""COMPUTED_VALUE"""),210.88)</f>
        <v>210.88</v>
      </c>
    </row>
    <row r="117">
      <c r="A117" s="1"/>
      <c r="B117" s="1"/>
      <c r="C117" s="231" t="s">
        <v>89</v>
      </c>
      <c r="D117" s="3"/>
      <c r="E117" s="3"/>
      <c r="F117" s="3"/>
      <c r="G117" s="3"/>
      <c r="H117" s="3"/>
      <c r="I117" s="3"/>
      <c r="J117" s="3"/>
      <c r="K117" s="3"/>
      <c r="L117" s="3"/>
      <c r="M117" s="4"/>
      <c r="N117" s="226" t="s">
        <v>78</v>
      </c>
      <c r="P117" s="237" t="str">
        <f>IFERROR(__xludf.DUMMYFUNCTION("IF($C$3=""Load"",(REGEXREPLACE(QUERY(IMPORTHTML(""https://finviz.com/quote.ashx?t=""&amp;$C$4,""table"",""9""),""select Col10 where Col9 = 'Avg Volume' ""),""\D+"","""")/REGEXREPLACE(QUERY(IMPORTHTML(""https://finviz.com/quote.ashx?t=""&amp;$C$4,""table"",""9""),"&amp;"""select Col10 where Col9 = 'Shs Float' ""),""\D+"","""")),N116)"),"No")</f>
        <v>No</v>
      </c>
      <c r="Q117" s="238"/>
      <c r="R117" s="239"/>
      <c r="S117" s="238"/>
      <c r="T117" s="240"/>
      <c r="U117" s="5"/>
      <c r="V117" s="6"/>
      <c r="W117" s="6"/>
      <c r="X117" s="6"/>
      <c r="Y117" s="6"/>
      <c r="Z117" s="6"/>
      <c r="AA117" s="6"/>
      <c r="AB117" s="5"/>
      <c r="AC117" s="174">
        <f>IFERROR(__xludf.DUMMYFUNCTION("""COMPUTED_VALUE"""),43973.66666666667)</f>
        <v>43973.66667</v>
      </c>
      <c r="AD117" s="175">
        <f>IFERROR(__xludf.DUMMYFUNCTION("""COMPUTED_VALUE"""),234.91)</f>
        <v>234.91</v>
      </c>
    </row>
    <row r="118">
      <c r="A118" s="1"/>
      <c r="B118" s="1"/>
      <c r="C118" s="225" t="s">
        <v>90</v>
      </c>
      <c r="D118" s="3"/>
      <c r="E118" s="3"/>
      <c r="F118" s="3"/>
      <c r="G118" s="3"/>
      <c r="H118" s="3"/>
      <c r="I118" s="3"/>
      <c r="J118" s="3"/>
      <c r="K118" s="3"/>
      <c r="L118" s="3"/>
      <c r="M118" s="4"/>
      <c r="N118" s="226" t="s">
        <v>78</v>
      </c>
      <c r="P118" s="241" t="s">
        <v>91</v>
      </c>
      <c r="Q118" s="3"/>
      <c r="R118" s="3"/>
      <c r="S118" s="3"/>
      <c r="T118" s="4"/>
      <c r="U118" s="5"/>
      <c r="V118" s="6"/>
      <c r="W118" s="6"/>
      <c r="X118" s="6"/>
      <c r="Y118" s="6"/>
      <c r="Z118" s="6"/>
      <c r="AA118" s="6"/>
      <c r="AB118" s="5"/>
      <c r="AC118" s="174">
        <f>IFERROR(__xludf.DUMMYFUNCTION("""COMPUTED_VALUE"""),43980.66666666667)</f>
        <v>43980.66667</v>
      </c>
      <c r="AD118" s="175">
        <f>IFERROR(__xludf.DUMMYFUNCTION("""COMPUTED_VALUE"""),225.09)</f>
        <v>225.09</v>
      </c>
    </row>
    <row r="119">
      <c r="A119" s="1"/>
      <c r="B119" s="1"/>
      <c r="C119" s="231" t="s">
        <v>92</v>
      </c>
      <c r="D119" s="3"/>
      <c r="E119" s="3"/>
      <c r="F119" s="3"/>
      <c r="G119" s="3"/>
      <c r="H119" s="3"/>
      <c r="I119" s="3"/>
      <c r="J119" s="3"/>
      <c r="K119" s="3"/>
      <c r="L119" s="3"/>
      <c r="M119" s="4"/>
      <c r="N119" s="226" t="s">
        <v>78</v>
      </c>
      <c r="P119" s="242" t="s">
        <v>43</v>
      </c>
      <c r="Q119" s="243">
        <f>iferror(Q53/F53,"")</f>
        <v>20.5594756</v>
      </c>
      <c r="R119" s="244" t="s">
        <v>93</v>
      </c>
      <c r="S119" s="75"/>
      <c r="T119" s="245">
        <f>IFERROR(__xludf.DUMMYFUNCTION("IF($C$3=""Load"",iferror(value(REGEXREPLACE(QUERY(IMPORTHTML(""https://finviz.com/quote.ashx?t=""&amp;$C$5,""table"",""9""),""select Col8 where Col7 = 'Insider Own' ""),""\*"",""""))),T119)"),0.1365)</f>
        <v>0.1365</v>
      </c>
      <c r="U119" s="5"/>
      <c r="V119" s="6"/>
      <c r="W119" s="6"/>
      <c r="X119" s="6"/>
      <c r="Y119" s="6"/>
      <c r="Z119" s="6"/>
      <c r="AA119" s="6"/>
      <c r="AB119" s="5"/>
      <c r="AC119" s="174">
        <f>IFERROR(__xludf.DUMMYFUNCTION("""COMPUTED_VALUE"""),43987.66666666667)</f>
        <v>43987.66667</v>
      </c>
      <c r="AD119" s="175">
        <f>IFERROR(__xludf.DUMMYFUNCTION("""COMPUTED_VALUE"""),230.77)</f>
        <v>230.77</v>
      </c>
    </row>
    <row r="120">
      <c r="A120" s="1"/>
      <c r="B120" s="1"/>
      <c r="C120" s="231" t="s">
        <v>94</v>
      </c>
      <c r="D120" s="3"/>
      <c r="E120" s="3"/>
      <c r="F120" s="3"/>
      <c r="G120" s="3"/>
      <c r="H120" s="3"/>
      <c r="I120" s="3"/>
      <c r="J120" s="3"/>
      <c r="K120" s="3"/>
      <c r="L120" s="3"/>
      <c r="M120" s="4"/>
      <c r="N120" s="226" t="s">
        <v>78</v>
      </c>
      <c r="P120" s="246" t="s">
        <v>95</v>
      </c>
      <c r="Q120" s="247">
        <f>iferror(P53/X53,"")</f>
        <v>27.52467647</v>
      </c>
      <c r="R120" s="248" t="s">
        <v>96</v>
      </c>
      <c r="T120" s="249">
        <f>IFERROR(__xludf.DUMMYFUNCTION("IF($C$3=""Load"",iferror(value(REGEXREPLACE(QUERY(IMPORTHTML(""https://finviz.com/quote.ashx?t=""&amp;$C$5,""table"",""9""),""select Col8 where Col7 = 'Insider Trans' ""),""\*"","""")),""-""),T120)"),-6.0E-4)</f>
        <v>-0.0006</v>
      </c>
      <c r="U120" s="5"/>
      <c r="V120" s="6"/>
      <c r="W120" s="6"/>
      <c r="X120" s="6"/>
      <c r="Y120" s="6"/>
      <c r="Z120" s="6"/>
      <c r="AA120" s="6"/>
      <c r="AB120" s="5"/>
      <c r="AC120" s="174">
        <f>IFERROR(__xludf.DUMMYFUNCTION("""COMPUTED_VALUE"""),43994.66666666667)</f>
        <v>43994.66667</v>
      </c>
      <c r="AD120" s="175">
        <f>IFERROR(__xludf.DUMMYFUNCTION("""COMPUTED_VALUE"""),228.58)</f>
        <v>228.58</v>
      </c>
    </row>
    <row r="121">
      <c r="A121" s="1"/>
      <c r="B121" s="1"/>
      <c r="C121" s="231" t="s">
        <v>97</v>
      </c>
      <c r="D121" s="3"/>
      <c r="E121" s="3"/>
      <c r="F121" s="3"/>
      <c r="G121" s="3"/>
      <c r="H121" s="3"/>
      <c r="I121" s="3"/>
      <c r="J121" s="3"/>
      <c r="K121" s="3"/>
      <c r="L121" s="3"/>
      <c r="M121" s="4"/>
      <c r="N121" s="226" t="s">
        <v>78</v>
      </c>
      <c r="P121" s="246" t="s">
        <v>98</v>
      </c>
      <c r="Q121" s="247">
        <f>iferror(P53/T53,"")</f>
        <v>8.635231826</v>
      </c>
      <c r="R121" s="248" t="s">
        <v>99</v>
      </c>
      <c r="T121" s="250">
        <f>IFERROR(__xludf.DUMMYFUNCTION("IF($C$3=""Load"",iferror(value(REGEXREPLACE(QUERY(IMPORTHTML(""https://finviz.com/quote.ashx?t=""&amp;$C$5,""table"",""9""),""select Col8 where Col7 = 'Inst Own' ""),""\*"",""""))),T121)"),0.6648)</f>
        <v>0.6648</v>
      </c>
      <c r="U121" s="5"/>
      <c r="V121" s="6"/>
      <c r="W121" s="6"/>
      <c r="X121" s="6"/>
      <c r="Y121" s="6"/>
      <c r="Z121" s="6"/>
      <c r="AA121" s="6"/>
      <c r="AB121" s="5"/>
      <c r="AC121" s="174">
        <f>IFERROR(__xludf.DUMMYFUNCTION("""COMPUTED_VALUE"""),44001.66666666667)</f>
        <v>44001.66667</v>
      </c>
      <c r="AD121" s="175">
        <f>IFERROR(__xludf.DUMMYFUNCTION("""COMPUTED_VALUE"""),238.79)</f>
        <v>238.79</v>
      </c>
    </row>
    <row r="122">
      <c r="A122" s="1"/>
      <c r="B122" s="1"/>
      <c r="C122" s="225" t="s">
        <v>100</v>
      </c>
      <c r="D122" s="3"/>
      <c r="E122" s="3"/>
      <c r="F122" s="3"/>
      <c r="G122" s="3"/>
      <c r="H122" s="3"/>
      <c r="I122" s="3"/>
      <c r="J122" s="3"/>
      <c r="K122" s="3"/>
      <c r="L122" s="3"/>
      <c r="M122" s="4"/>
      <c r="N122" s="226" t="s">
        <v>78</v>
      </c>
      <c r="P122" s="246" t="s">
        <v>101</v>
      </c>
      <c r="Q122" s="247">
        <f>iferror(P53/(H53-J53),"")</f>
        <v>17.44819697</v>
      </c>
      <c r="R122" s="251" t="s">
        <v>102</v>
      </c>
      <c r="T122" s="252" t="str">
        <f>IFERROR(__xludf.DUMMYFUNCTION("IF($C$3=""Load"",iferror(REGEXREPLACE(QUERY(IMPORTHTML(""https://finviz.com/quote.ashx?t=""&amp;$C$5,""table"",""9""),""select Col10 where Col9 = 'Short Float' ""),""\*"","""")),T122)"),"1.24%")</f>
        <v>1.24%</v>
      </c>
      <c r="U122" s="5"/>
      <c r="V122" s="6"/>
      <c r="W122" s="6"/>
      <c r="X122" s="6"/>
      <c r="Y122" s="6"/>
      <c r="Z122" s="6"/>
      <c r="AA122" s="6"/>
      <c r="AB122" s="5"/>
      <c r="AC122" s="174">
        <f>IFERROR(__xludf.DUMMYFUNCTION("""COMPUTED_VALUE"""),44008.66666666667)</f>
        <v>44008.66667</v>
      </c>
      <c r="AD122" s="175">
        <f>IFERROR(__xludf.DUMMYFUNCTION("""COMPUTED_VALUE"""),216.08)</f>
        <v>216.08</v>
      </c>
    </row>
    <row r="123">
      <c r="A123" s="1"/>
      <c r="B123" s="1"/>
      <c r="C123" s="225" t="s">
        <v>103</v>
      </c>
      <c r="D123" s="3"/>
      <c r="E123" s="3"/>
      <c r="F123" s="3"/>
      <c r="G123" s="3"/>
      <c r="H123" s="3"/>
      <c r="I123" s="3"/>
      <c r="J123" s="3"/>
      <c r="K123" s="3"/>
      <c r="L123" s="3"/>
      <c r="M123" s="4"/>
      <c r="N123" s="226" t="s">
        <v>78</v>
      </c>
      <c r="P123" s="246" t="s">
        <v>104</v>
      </c>
      <c r="Q123" s="247">
        <f>iferror(P53/K53,"")</f>
        <v>10.0814647</v>
      </c>
      <c r="R123" s="251" t="s">
        <v>105</v>
      </c>
      <c r="T123" s="249" t="str">
        <f>iferror((if(P117&gt;1,P117/1000,P117)),"")</f>
        <v/>
      </c>
      <c r="U123" s="5"/>
      <c r="V123" s="6"/>
      <c r="W123" s="6"/>
      <c r="X123" s="6"/>
      <c r="Y123" s="6"/>
      <c r="Z123" s="6"/>
      <c r="AA123" s="6"/>
      <c r="AB123" s="5"/>
      <c r="AC123" s="174">
        <f>IFERROR(__xludf.DUMMYFUNCTION("""COMPUTED_VALUE"""),44014.66666666667)</f>
        <v>44014.66667</v>
      </c>
      <c r="AD123" s="175">
        <f>IFERROR(__xludf.DUMMYFUNCTION("""COMPUTED_VALUE"""),233.42)</f>
        <v>233.42</v>
      </c>
    </row>
    <row r="124">
      <c r="A124" s="1"/>
      <c r="B124" s="1"/>
      <c r="C124" s="231" t="s">
        <v>106</v>
      </c>
      <c r="D124" s="3"/>
      <c r="E124" s="3"/>
      <c r="F124" s="3"/>
      <c r="G124" s="3"/>
      <c r="H124" s="3"/>
      <c r="I124" s="3"/>
      <c r="J124" s="3"/>
      <c r="K124" s="3"/>
      <c r="L124" s="3"/>
      <c r="M124" s="4"/>
      <c r="N124" s="253" t="s">
        <v>78</v>
      </c>
      <c r="P124" s="254" t="s">
        <v>107</v>
      </c>
      <c r="Q124" s="255">
        <f>iferror(if(Q121&lt;0,"Neg Book",(F53/(T53+if(M53&lt;0,0,M53)))),"")</f>
        <v>0.3459268152</v>
      </c>
      <c r="R124" s="256" t="s">
        <v>108</v>
      </c>
      <c r="S124" s="86"/>
      <c r="T124" s="257">
        <f>IFERROR(__xludf.DUMMYFUNCTION("IF($C$3=""Update"",iferror((index(GOOGLEFINANCE(C5,""price"",today()-30),2,2)-index(GOOGLEFINANCE(C5,""price"",today()-365),2,2))/index(GOOGLEFINANCE(C5,""price"",today()-365),2,2)),T124)"),-0.214867169022606)</f>
        <v>-0.214867169</v>
      </c>
      <c r="U124" s="5"/>
      <c r="V124" s="6"/>
      <c r="W124" s="6"/>
      <c r="X124" s="6"/>
      <c r="Y124" s="6"/>
      <c r="Z124" s="6"/>
      <c r="AA124" s="6"/>
      <c r="AB124" s="5"/>
      <c r="AC124" s="174">
        <f>IFERROR(__xludf.DUMMYFUNCTION("""COMPUTED_VALUE"""),44022.66666666667)</f>
        <v>44022.66667</v>
      </c>
      <c r="AD124" s="175">
        <f>IFERROR(__xludf.DUMMYFUNCTION("""COMPUTED_VALUE"""),245.07)</f>
        <v>245.07</v>
      </c>
    </row>
    <row r="125" ht="26.25" customHeight="1">
      <c r="A125" s="1"/>
      <c r="B125" s="1"/>
      <c r="C125" s="258"/>
      <c r="D125" s="258"/>
      <c r="E125" s="258"/>
      <c r="F125" s="258"/>
      <c r="G125" s="258"/>
      <c r="H125" s="258"/>
      <c r="I125" s="258"/>
      <c r="M125" s="258"/>
      <c r="N125" s="258"/>
      <c r="O125" s="258"/>
      <c r="P125" s="258"/>
      <c r="Q125" s="258"/>
      <c r="R125" s="258"/>
      <c r="S125" s="258"/>
      <c r="T125" s="258"/>
      <c r="U125" s="5"/>
      <c r="V125" s="6"/>
      <c r="W125" s="6"/>
      <c r="X125" s="6"/>
      <c r="Y125" s="6"/>
      <c r="Z125" s="6"/>
      <c r="AA125" s="6"/>
      <c r="AB125" s="5"/>
      <c r="AC125" s="174">
        <f>IFERROR(__xludf.DUMMYFUNCTION("""COMPUTED_VALUE"""),44029.66666666667)</f>
        <v>44029.66667</v>
      </c>
      <c r="AD125" s="175">
        <f>IFERROR(__xludf.DUMMYFUNCTION("""COMPUTED_VALUE"""),242.03)</f>
        <v>242.03</v>
      </c>
    </row>
    <row r="126" ht="26.25" customHeight="1">
      <c r="A126" s="1"/>
      <c r="B126" s="1"/>
      <c r="C126" s="259"/>
      <c r="D126" s="259"/>
      <c r="E126" s="260" t="s">
        <v>109</v>
      </c>
      <c r="F126" s="260" t="s">
        <v>110</v>
      </c>
      <c r="G126" s="260" t="s">
        <v>111</v>
      </c>
      <c r="H126" s="260" t="s">
        <v>112</v>
      </c>
      <c r="I126" s="260" t="s">
        <v>113</v>
      </c>
      <c r="J126" s="260" t="s">
        <v>114</v>
      </c>
      <c r="K126" s="260" t="s">
        <v>115</v>
      </c>
      <c r="L126" s="260" t="s">
        <v>116</v>
      </c>
      <c r="M126" s="258"/>
      <c r="N126" s="258"/>
      <c r="O126" s="258"/>
      <c r="P126" s="258"/>
      <c r="Q126" s="258"/>
      <c r="R126" s="258"/>
      <c r="S126" s="258"/>
      <c r="T126" s="258"/>
      <c r="U126" s="5"/>
      <c r="V126" s="6"/>
      <c r="W126" s="6"/>
      <c r="X126" s="6"/>
      <c r="Y126" s="6"/>
      <c r="Z126" s="6"/>
      <c r="AA126" s="6"/>
      <c r="AB126" s="5"/>
      <c r="AC126" s="174">
        <f>IFERROR(__xludf.DUMMYFUNCTION("""COMPUTED_VALUE"""),44036.66666666667)</f>
        <v>44036.66667</v>
      </c>
      <c r="AD126" s="175">
        <f>IFERROR(__xludf.DUMMYFUNCTION("""COMPUTED_VALUE"""),230.71)</f>
        <v>230.71</v>
      </c>
    </row>
    <row r="127" ht="26.25" customHeight="1">
      <c r="A127" s="1"/>
      <c r="B127" s="1"/>
      <c r="C127" s="259"/>
      <c r="D127" s="259"/>
      <c r="E127" s="260"/>
      <c r="F127" s="260"/>
      <c r="G127" s="260"/>
      <c r="H127" s="260"/>
      <c r="I127" s="260"/>
      <c r="J127" s="260"/>
      <c r="K127" s="260"/>
      <c r="L127" s="260"/>
      <c r="M127" s="258"/>
      <c r="N127" s="258"/>
      <c r="O127" s="258"/>
      <c r="P127" s="258"/>
      <c r="Q127" s="258"/>
      <c r="R127" s="258"/>
      <c r="S127" s="258"/>
      <c r="T127" s="258"/>
      <c r="U127" s="5"/>
      <c r="V127" s="6"/>
      <c r="W127" s="6"/>
      <c r="X127" s="6"/>
      <c r="Y127" s="6"/>
      <c r="Z127" s="6"/>
      <c r="AA127" s="6"/>
      <c r="AB127" s="5"/>
      <c r="AC127" s="174">
        <f>IFERROR(__xludf.DUMMYFUNCTION("""COMPUTED_VALUE"""),44043.66666666667)</f>
        <v>44043.66667</v>
      </c>
      <c r="AD127" s="175">
        <f>IFERROR(__xludf.DUMMYFUNCTION("""COMPUTED_VALUE"""),253.67)</f>
        <v>253.67</v>
      </c>
    </row>
    <row r="128" hidden="1">
      <c r="A128" s="1"/>
      <c r="B128" s="1"/>
      <c r="C128" s="258"/>
      <c r="D128" s="261"/>
      <c r="E128" s="261"/>
      <c r="F128" s="261"/>
      <c r="G128" s="261"/>
      <c r="H128" s="261"/>
      <c r="I128" s="261"/>
      <c r="J128" s="261"/>
      <c r="K128" s="261"/>
      <c r="M128" s="261"/>
      <c r="N128" s="261"/>
      <c r="O128" s="261"/>
      <c r="P128" s="261"/>
      <c r="Q128" s="261"/>
      <c r="R128" s="261"/>
      <c r="S128" s="261"/>
      <c r="T128" s="261"/>
      <c r="U128" s="5"/>
      <c r="V128" s="6"/>
      <c r="W128" s="6"/>
      <c r="X128" s="6"/>
      <c r="Y128" s="6"/>
      <c r="Z128" s="6"/>
      <c r="AA128" s="6"/>
      <c r="AB128" s="5"/>
      <c r="AC128" s="174">
        <f>IFERROR(__xludf.DUMMYFUNCTION("""COMPUTED_VALUE"""),44050.66666666667)</f>
        <v>44050.66667</v>
      </c>
      <c r="AD128" s="175">
        <f>IFERROR(__xludf.DUMMYFUNCTION("""COMPUTED_VALUE"""),268.44)</f>
        <v>268.44</v>
      </c>
    </row>
    <row r="129" hidden="1">
      <c r="A129" s="1"/>
      <c r="B129" s="1"/>
      <c r="C129" s="261"/>
      <c r="D129" s="261"/>
      <c r="E129" s="261"/>
      <c r="F129" s="261"/>
      <c r="G129" s="261"/>
      <c r="H129" s="261"/>
      <c r="I129" s="261"/>
      <c r="J129" s="261"/>
      <c r="K129" s="261"/>
      <c r="M129" s="261"/>
      <c r="N129" s="261"/>
      <c r="O129" s="261"/>
      <c r="P129" s="261"/>
      <c r="Q129" s="261"/>
      <c r="R129" s="261"/>
      <c r="S129" s="261"/>
      <c r="T129" s="261"/>
      <c r="U129" s="5"/>
      <c r="V129" s="5"/>
      <c r="W129" s="5"/>
      <c r="X129" s="6"/>
      <c r="Y129" s="6"/>
      <c r="Z129" s="6"/>
      <c r="AA129" s="6"/>
      <c r="AB129" s="5"/>
      <c r="AC129" s="174">
        <f>IFERROR(__xludf.DUMMYFUNCTION("""COMPUTED_VALUE"""),44057.66666666667)</f>
        <v>44057.66667</v>
      </c>
      <c r="AD129" s="175">
        <f>IFERROR(__xludf.DUMMYFUNCTION("""COMPUTED_VALUE"""),261.24)</f>
        <v>261.24</v>
      </c>
    </row>
    <row r="130" hidden="1">
      <c r="A130" s="1"/>
      <c r="B130" s="1"/>
      <c r="C130" s="261"/>
      <c r="D130" s="261"/>
      <c r="E130" s="261"/>
      <c r="F130" s="261"/>
      <c r="G130" s="261"/>
      <c r="H130" s="261"/>
      <c r="I130" s="261"/>
      <c r="J130" s="261"/>
      <c r="K130" s="261"/>
      <c r="M130" s="261"/>
      <c r="N130" s="261"/>
      <c r="O130" s="261"/>
      <c r="P130" s="261"/>
      <c r="Q130" s="261"/>
      <c r="R130" s="261"/>
      <c r="S130" s="261"/>
      <c r="T130" s="261"/>
      <c r="U130" s="5"/>
      <c r="V130" s="5"/>
      <c r="W130" s="5"/>
      <c r="X130" s="6"/>
      <c r="Y130" s="6"/>
      <c r="Z130" s="6"/>
      <c r="AA130" s="6"/>
      <c r="AB130" s="5"/>
      <c r="AC130" s="174">
        <f>IFERROR(__xludf.DUMMYFUNCTION("""COMPUTED_VALUE"""),44064.66666666667)</f>
        <v>44064.66667</v>
      </c>
      <c r="AD130" s="175">
        <f>IFERROR(__xludf.DUMMYFUNCTION("""COMPUTED_VALUE"""),267.01)</f>
        <v>267.01</v>
      </c>
    </row>
    <row r="131" hidden="1">
      <c r="A131" s="1"/>
      <c r="B131" s="1"/>
      <c r="C131" s="261"/>
      <c r="D131" s="261"/>
      <c r="E131" s="261"/>
      <c r="F131" s="261"/>
      <c r="G131" s="261"/>
      <c r="H131" s="261"/>
      <c r="I131" s="261"/>
      <c r="J131" s="261"/>
      <c r="K131" s="261"/>
      <c r="M131" s="261"/>
      <c r="N131" s="261"/>
      <c r="O131" s="261"/>
      <c r="P131" s="261"/>
      <c r="Q131" s="261"/>
      <c r="R131" s="261"/>
      <c r="S131" s="261"/>
      <c r="T131" s="261"/>
      <c r="U131" s="5"/>
      <c r="V131" s="5"/>
      <c r="W131" s="5"/>
      <c r="X131" s="6"/>
      <c r="Y131" s="6"/>
      <c r="Z131" s="6"/>
      <c r="AA131" s="6"/>
      <c r="AB131" s="5"/>
      <c r="AC131" s="174">
        <f>IFERROR(__xludf.DUMMYFUNCTION("""COMPUTED_VALUE"""),44071.66666666667)</f>
        <v>44071.66667</v>
      </c>
      <c r="AD131" s="175">
        <f>IFERROR(__xludf.DUMMYFUNCTION("""COMPUTED_VALUE"""),293.66)</f>
        <v>293.66</v>
      </c>
    </row>
    <row r="132" hidden="1">
      <c r="A132" s="1"/>
      <c r="B132" s="1"/>
      <c r="C132" s="261"/>
      <c r="D132" s="261"/>
      <c r="E132" s="261"/>
      <c r="F132" s="261"/>
      <c r="G132" s="261"/>
      <c r="H132" s="261"/>
      <c r="I132" s="261"/>
      <c r="J132" s="261"/>
      <c r="K132" s="261"/>
      <c r="M132" s="261"/>
      <c r="N132" s="261"/>
      <c r="O132" s="261"/>
      <c r="P132" s="261"/>
      <c r="Q132" s="261"/>
      <c r="R132" s="261"/>
      <c r="S132" s="261"/>
      <c r="T132" s="261"/>
      <c r="U132" s="5"/>
      <c r="V132" s="5"/>
      <c r="W132" s="5"/>
      <c r="X132" s="6"/>
      <c r="Y132" s="6"/>
      <c r="Z132" s="6"/>
      <c r="AA132" s="6"/>
      <c r="AB132" s="5"/>
      <c r="AC132" s="174">
        <f>IFERROR(__xludf.DUMMYFUNCTION("""COMPUTED_VALUE"""),44078.66666666667)</f>
        <v>44078.66667</v>
      </c>
      <c r="AD132" s="175">
        <f>IFERROR(__xludf.DUMMYFUNCTION("""COMPUTED_VALUE"""),282.73)</f>
        <v>282.73</v>
      </c>
    </row>
    <row r="133" hidden="1">
      <c r="A133" s="1"/>
      <c r="B133" s="1"/>
      <c r="C133" s="261"/>
      <c r="D133" s="261"/>
      <c r="E133" s="261"/>
      <c r="F133" s="261"/>
      <c r="G133" s="261"/>
      <c r="H133" s="261"/>
      <c r="I133" s="261"/>
      <c r="J133" s="261"/>
      <c r="K133" s="261"/>
      <c r="M133" s="261"/>
      <c r="N133" s="261"/>
      <c r="O133" s="261"/>
      <c r="P133" s="261"/>
      <c r="Q133" s="261"/>
      <c r="R133" s="261"/>
      <c r="S133" s="261"/>
      <c r="T133" s="261"/>
      <c r="U133" s="5"/>
      <c r="V133" s="5"/>
      <c r="W133" s="5"/>
      <c r="X133" s="6"/>
      <c r="Y133" s="6"/>
      <c r="Z133" s="6"/>
      <c r="AA133" s="6"/>
      <c r="AB133" s="5"/>
      <c r="AC133" s="174">
        <f>IFERROR(__xludf.DUMMYFUNCTION("""COMPUTED_VALUE"""),44085.66666666667)</f>
        <v>44085.66667</v>
      </c>
      <c r="AD133" s="175">
        <f>IFERROR(__xludf.DUMMYFUNCTION("""COMPUTED_VALUE"""),266.61)</f>
        <v>266.61</v>
      </c>
    </row>
    <row r="134" hidden="1">
      <c r="A134" s="1"/>
      <c r="B134" s="1"/>
      <c r="C134" s="261"/>
      <c r="D134" s="261"/>
      <c r="E134" s="261"/>
      <c r="F134" s="261"/>
      <c r="G134" s="261"/>
      <c r="H134" s="261"/>
      <c r="I134" s="261"/>
      <c r="J134" s="261"/>
      <c r="K134" s="261"/>
      <c r="M134" s="261"/>
      <c r="N134" s="261"/>
      <c r="O134" s="261"/>
      <c r="P134" s="261"/>
      <c r="Q134" s="261"/>
      <c r="R134" s="261"/>
      <c r="S134" s="261"/>
      <c r="T134" s="261"/>
      <c r="U134" s="5"/>
      <c r="V134" s="5"/>
      <c r="W134" s="5"/>
      <c r="X134" s="6"/>
      <c r="Y134" s="6"/>
      <c r="Z134" s="6"/>
      <c r="AA134" s="6"/>
      <c r="AB134" s="5"/>
      <c r="AC134" s="174">
        <f>IFERROR(__xludf.DUMMYFUNCTION("""COMPUTED_VALUE"""),44092.66666666667)</f>
        <v>44092.66667</v>
      </c>
      <c r="AD134" s="175">
        <f>IFERROR(__xludf.DUMMYFUNCTION("""COMPUTED_VALUE"""),252.53)</f>
        <v>252.53</v>
      </c>
    </row>
    <row r="135" hidden="1">
      <c r="A135" s="1"/>
      <c r="B135" s="1"/>
      <c r="C135" s="261"/>
      <c r="D135" s="261"/>
      <c r="E135" s="261"/>
      <c r="F135" s="261"/>
      <c r="G135" s="261"/>
      <c r="H135" s="261"/>
      <c r="I135" s="261"/>
      <c r="J135" s="261"/>
      <c r="K135" s="261"/>
      <c r="M135" s="261"/>
      <c r="N135" s="261"/>
      <c r="O135" s="261"/>
      <c r="P135" s="261"/>
      <c r="Q135" s="261"/>
      <c r="R135" s="261"/>
      <c r="S135" s="261"/>
      <c r="T135" s="261"/>
      <c r="U135" s="5"/>
      <c r="V135" s="5"/>
      <c r="W135" s="5"/>
      <c r="X135" s="6"/>
      <c r="Y135" s="6"/>
      <c r="Z135" s="6"/>
      <c r="AA135" s="6"/>
      <c r="AB135" s="5"/>
      <c r="AC135" s="174">
        <f>IFERROR(__xludf.DUMMYFUNCTION("""COMPUTED_VALUE"""),44099.66666666667)</f>
        <v>44099.66667</v>
      </c>
      <c r="AD135" s="175">
        <f>IFERROR(__xludf.DUMMYFUNCTION("""COMPUTED_VALUE"""),254.82)</f>
        <v>254.82</v>
      </c>
    </row>
    <row r="136" hidden="1">
      <c r="A136" s="1"/>
      <c r="B136" s="1"/>
      <c r="C136" s="261"/>
      <c r="D136" s="261"/>
      <c r="E136" s="261"/>
      <c r="F136" s="261"/>
      <c r="G136" s="261"/>
      <c r="H136" s="261"/>
      <c r="I136" s="261"/>
      <c r="J136" s="261"/>
      <c r="K136" s="261"/>
      <c r="M136" s="261"/>
      <c r="N136" s="261"/>
      <c r="O136" s="261"/>
      <c r="P136" s="261"/>
      <c r="Q136" s="261"/>
      <c r="R136" s="261"/>
      <c r="S136" s="261"/>
      <c r="T136" s="261"/>
      <c r="U136" s="5"/>
      <c r="V136" s="5"/>
      <c r="W136" s="5"/>
      <c r="X136" s="6"/>
      <c r="Y136" s="6"/>
      <c r="Z136" s="6"/>
      <c r="AA136" s="6"/>
      <c r="AB136" s="5"/>
      <c r="AC136" s="174">
        <f>IFERROR(__xludf.DUMMYFUNCTION("""COMPUTED_VALUE"""),44106.66666666667)</f>
        <v>44106.66667</v>
      </c>
      <c r="AD136" s="175">
        <f>IFERROR(__xludf.DUMMYFUNCTION("""COMPUTED_VALUE"""),259.94)</f>
        <v>259.94</v>
      </c>
    </row>
    <row r="137" hidden="1">
      <c r="A137" s="1"/>
      <c r="B137" s="1"/>
      <c r="C137" s="261"/>
      <c r="D137" s="261"/>
      <c r="E137" s="261"/>
      <c r="F137" s="261"/>
      <c r="G137" s="261"/>
      <c r="H137" s="261"/>
      <c r="I137" s="261"/>
      <c r="J137" s="261"/>
      <c r="K137" s="261"/>
      <c r="M137" s="261"/>
      <c r="N137" s="261"/>
      <c r="O137" s="261"/>
      <c r="P137" s="261"/>
      <c r="Q137" s="261"/>
      <c r="R137" s="261"/>
      <c r="S137" s="261"/>
      <c r="T137" s="261"/>
      <c r="U137" s="5"/>
      <c r="V137" s="5"/>
      <c r="W137" s="5"/>
      <c r="X137" s="6"/>
      <c r="Y137" s="6"/>
      <c r="Z137" s="6"/>
      <c r="AA137" s="6"/>
      <c r="AB137" s="5"/>
      <c r="AC137" s="174">
        <f>IFERROR(__xludf.DUMMYFUNCTION("""COMPUTED_VALUE"""),44113.66666666667)</f>
        <v>44113.66667</v>
      </c>
      <c r="AD137" s="175">
        <f>IFERROR(__xludf.DUMMYFUNCTION("""COMPUTED_VALUE"""),264.45)</f>
        <v>264.45</v>
      </c>
    </row>
    <row r="138" hidden="1">
      <c r="A138" s="1"/>
      <c r="B138" s="1"/>
      <c r="C138" s="261"/>
      <c r="D138" s="261"/>
      <c r="E138" s="261"/>
      <c r="F138" s="261"/>
      <c r="G138" s="261"/>
      <c r="H138" s="261"/>
      <c r="I138" s="261"/>
      <c r="J138" s="261"/>
      <c r="K138" s="261"/>
      <c r="M138" s="261"/>
      <c r="N138" s="261"/>
      <c r="O138" s="261"/>
      <c r="P138" s="261"/>
      <c r="Q138" s="261"/>
      <c r="R138" s="261"/>
      <c r="S138" s="261"/>
      <c r="T138" s="261"/>
      <c r="U138" s="5"/>
      <c r="V138" s="5"/>
      <c r="W138" s="5"/>
      <c r="X138" s="6"/>
      <c r="Y138" s="6"/>
      <c r="Z138" s="6"/>
      <c r="AA138" s="6"/>
      <c r="AB138" s="5"/>
      <c r="AC138" s="174">
        <f>IFERROR(__xludf.DUMMYFUNCTION("""COMPUTED_VALUE"""),44120.66666666667)</f>
        <v>44120.66667</v>
      </c>
      <c r="AD138" s="175">
        <f>IFERROR(__xludf.DUMMYFUNCTION("""COMPUTED_VALUE"""),265.93)</f>
        <v>265.93</v>
      </c>
    </row>
    <row r="139" hidden="1">
      <c r="A139" s="1"/>
      <c r="B139" s="1"/>
      <c r="C139" s="261"/>
      <c r="D139" s="261"/>
      <c r="E139" s="261"/>
      <c r="F139" s="261"/>
      <c r="G139" s="261"/>
      <c r="H139" s="261"/>
      <c r="I139" s="261"/>
      <c r="J139" s="261"/>
      <c r="K139" s="261"/>
      <c r="M139" s="261"/>
      <c r="N139" s="261"/>
      <c r="O139" s="261"/>
      <c r="P139" s="261"/>
      <c r="Q139" s="261"/>
      <c r="R139" s="261"/>
      <c r="S139" s="261"/>
      <c r="T139" s="261"/>
      <c r="U139" s="5"/>
      <c r="V139" s="5"/>
      <c r="W139" s="5"/>
      <c r="X139" s="6"/>
      <c r="Y139" s="6"/>
      <c r="Z139" s="6"/>
      <c r="AA139" s="6"/>
      <c r="AB139" s="5"/>
      <c r="AC139" s="174">
        <f>IFERROR(__xludf.DUMMYFUNCTION("""COMPUTED_VALUE"""),44127.66666666667)</f>
        <v>44127.66667</v>
      </c>
      <c r="AD139" s="175">
        <f>IFERROR(__xludf.DUMMYFUNCTION("""COMPUTED_VALUE"""),284.79)</f>
        <v>284.79</v>
      </c>
    </row>
    <row r="140" hidden="1">
      <c r="A140" s="1"/>
      <c r="B140" s="1"/>
      <c r="C140" s="261"/>
      <c r="D140" s="261"/>
      <c r="E140" s="261"/>
      <c r="F140" s="261"/>
      <c r="G140" s="261"/>
      <c r="H140" s="261"/>
      <c r="I140" s="261"/>
      <c r="J140" s="261"/>
      <c r="K140" s="261"/>
      <c r="M140" s="261"/>
      <c r="N140" s="261"/>
      <c r="O140" s="261"/>
      <c r="P140" s="261"/>
      <c r="Q140" s="261"/>
      <c r="R140" s="261"/>
      <c r="S140" s="261"/>
      <c r="T140" s="261"/>
      <c r="U140" s="5"/>
      <c r="V140" s="5"/>
      <c r="W140" s="5"/>
      <c r="X140" s="6"/>
      <c r="Y140" s="6"/>
      <c r="Z140" s="6"/>
      <c r="AA140" s="6"/>
      <c r="AB140" s="5"/>
      <c r="AC140" s="174">
        <f>IFERROR(__xludf.DUMMYFUNCTION("""COMPUTED_VALUE"""),44134.66666666667)</f>
        <v>44134.66667</v>
      </c>
      <c r="AD140" s="175">
        <f>IFERROR(__xludf.DUMMYFUNCTION("""COMPUTED_VALUE"""),263.11)</f>
        <v>263.11</v>
      </c>
    </row>
    <row r="141" hidden="1">
      <c r="A141" s="1"/>
      <c r="B141" s="1"/>
      <c r="C141" s="261"/>
      <c r="D141" s="261"/>
      <c r="E141" s="261"/>
      <c r="F141" s="261"/>
      <c r="G141" s="261"/>
      <c r="H141" s="261"/>
      <c r="I141" s="261"/>
      <c r="J141" s="261"/>
      <c r="K141" s="261"/>
      <c r="M141" s="261"/>
      <c r="N141" s="261"/>
      <c r="O141" s="261"/>
      <c r="P141" s="261"/>
      <c r="Q141" s="261"/>
      <c r="R141" s="261"/>
      <c r="S141" s="261"/>
      <c r="T141" s="261"/>
      <c r="U141" s="5"/>
      <c r="V141" s="5"/>
      <c r="W141" s="5"/>
      <c r="X141" s="6"/>
      <c r="Y141" s="6"/>
      <c r="Z141" s="6"/>
      <c r="AA141" s="6"/>
      <c r="AB141" s="5"/>
      <c r="AC141" s="174">
        <f>IFERROR(__xludf.DUMMYFUNCTION("""COMPUTED_VALUE"""),44141.66666666667)</f>
        <v>44141.66667</v>
      </c>
      <c r="AD141" s="175">
        <f>IFERROR(__xludf.DUMMYFUNCTION("""COMPUTED_VALUE"""),293.41)</f>
        <v>293.41</v>
      </c>
    </row>
    <row r="142" hidden="1">
      <c r="A142" s="1"/>
      <c r="B142" s="1"/>
      <c r="C142" s="261"/>
      <c r="D142" s="261"/>
      <c r="E142" s="261"/>
      <c r="F142" s="261"/>
      <c r="G142" s="261"/>
      <c r="H142" s="261"/>
      <c r="I142" s="261"/>
      <c r="J142" s="261"/>
      <c r="K142" s="261"/>
      <c r="M142" s="261"/>
      <c r="N142" s="261"/>
      <c r="O142" s="261"/>
      <c r="P142" s="261"/>
      <c r="Q142" s="261"/>
      <c r="R142" s="261"/>
      <c r="S142" s="261"/>
      <c r="T142" s="261"/>
      <c r="U142" s="5"/>
      <c r="V142" s="5"/>
      <c r="W142" s="5"/>
      <c r="X142" s="6"/>
      <c r="Y142" s="6"/>
      <c r="Z142" s="6"/>
      <c r="AA142" s="6"/>
      <c r="AB142" s="5"/>
      <c r="AC142" s="174">
        <f>IFERROR(__xludf.DUMMYFUNCTION("""COMPUTED_VALUE"""),44148.66666666667)</f>
        <v>44148.66667</v>
      </c>
      <c r="AD142" s="175">
        <f>IFERROR(__xludf.DUMMYFUNCTION("""COMPUTED_VALUE"""),276.95)</f>
        <v>276.95</v>
      </c>
    </row>
    <row r="143" hidden="1">
      <c r="A143" s="1"/>
      <c r="B143" s="1"/>
      <c r="C143" s="261"/>
      <c r="D143" s="261"/>
      <c r="E143" s="261"/>
      <c r="F143" s="261"/>
      <c r="G143" s="261"/>
      <c r="H143" s="261"/>
      <c r="I143" s="261"/>
      <c r="J143" s="261"/>
      <c r="K143" s="261"/>
      <c r="M143" s="261"/>
      <c r="N143" s="261"/>
      <c r="O143" s="261"/>
      <c r="P143" s="261"/>
      <c r="Q143" s="261"/>
      <c r="R143" s="261"/>
      <c r="S143" s="261"/>
      <c r="T143" s="261"/>
      <c r="U143" s="5"/>
      <c r="V143" s="5"/>
      <c r="W143" s="5"/>
      <c r="X143" s="6"/>
      <c r="Y143" s="6"/>
      <c r="Z143" s="6"/>
      <c r="AA143" s="6"/>
      <c r="AB143" s="5"/>
      <c r="AC143" s="174">
        <f>IFERROR(__xludf.DUMMYFUNCTION("""COMPUTED_VALUE"""),44155.66666666667)</f>
        <v>44155.66667</v>
      </c>
      <c r="AD143" s="175">
        <f>IFERROR(__xludf.DUMMYFUNCTION("""COMPUTED_VALUE"""),269.7)</f>
        <v>269.7</v>
      </c>
    </row>
    <row r="144" hidden="1">
      <c r="A144" s="1"/>
      <c r="B144" s="1"/>
      <c r="C144" s="261"/>
      <c r="D144" s="261"/>
      <c r="E144" s="261"/>
      <c r="F144" s="261"/>
      <c r="G144" s="261"/>
      <c r="H144" s="261"/>
      <c r="I144" s="261"/>
      <c r="J144" s="261"/>
      <c r="K144" s="261"/>
      <c r="M144" s="261"/>
      <c r="N144" s="261"/>
      <c r="O144" s="261"/>
      <c r="P144" s="261"/>
      <c r="Q144" s="261"/>
      <c r="R144" s="261"/>
      <c r="S144" s="261"/>
      <c r="T144" s="261"/>
      <c r="U144" s="5"/>
      <c r="V144" s="5"/>
      <c r="W144" s="5"/>
      <c r="X144" s="6"/>
      <c r="Y144" s="6"/>
      <c r="Z144" s="6"/>
      <c r="AA144" s="6"/>
      <c r="AB144" s="5"/>
      <c r="AC144" s="174">
        <f>IFERROR(__xludf.DUMMYFUNCTION("""COMPUTED_VALUE"""),44162.54166666667)</f>
        <v>44162.54167</v>
      </c>
      <c r="AD144" s="175">
        <f>IFERROR(__xludf.DUMMYFUNCTION("""COMPUTED_VALUE"""),277.81)</f>
        <v>277.81</v>
      </c>
    </row>
    <row r="145" hidden="1">
      <c r="A145" s="1"/>
      <c r="B145" s="1"/>
      <c r="C145" s="261"/>
      <c r="D145" s="261"/>
      <c r="E145" s="261"/>
      <c r="F145" s="261"/>
      <c r="G145" s="261"/>
      <c r="H145" s="261"/>
      <c r="I145" s="261"/>
      <c r="J145" s="261"/>
      <c r="K145" s="261"/>
      <c r="M145" s="261"/>
      <c r="N145" s="261"/>
      <c r="O145" s="261"/>
      <c r="P145" s="261"/>
      <c r="Q145" s="261"/>
      <c r="R145" s="261"/>
      <c r="S145" s="261"/>
      <c r="T145" s="261"/>
      <c r="U145" s="5"/>
      <c r="V145" s="5"/>
      <c r="W145" s="5"/>
      <c r="X145" s="6"/>
      <c r="Y145" s="6"/>
      <c r="Z145" s="6"/>
      <c r="AA145" s="6"/>
      <c r="AB145" s="5"/>
      <c r="AC145" s="174">
        <f>IFERROR(__xludf.DUMMYFUNCTION("""COMPUTED_VALUE"""),44169.66666666667)</f>
        <v>44169.66667</v>
      </c>
      <c r="AD145" s="175">
        <f>IFERROR(__xludf.DUMMYFUNCTION("""COMPUTED_VALUE"""),279.7)</f>
        <v>279.7</v>
      </c>
    </row>
    <row r="146" hidden="1">
      <c r="A146" s="1"/>
      <c r="B146" s="1"/>
      <c r="C146" s="261"/>
      <c r="D146" s="261"/>
      <c r="E146" s="261"/>
      <c r="F146" s="261"/>
      <c r="G146" s="261"/>
      <c r="H146" s="261"/>
      <c r="I146" s="261"/>
      <c r="J146" s="261"/>
      <c r="K146" s="261"/>
      <c r="M146" s="261"/>
      <c r="N146" s="261"/>
      <c r="O146" s="261"/>
      <c r="P146" s="261"/>
      <c r="Q146" s="261"/>
      <c r="R146" s="261"/>
      <c r="S146" s="261"/>
      <c r="T146" s="261"/>
      <c r="U146" s="5"/>
      <c r="V146" s="5"/>
      <c r="W146" s="5"/>
      <c r="X146" s="6"/>
      <c r="Y146" s="6"/>
      <c r="Z146" s="6"/>
      <c r="AA146" s="6"/>
      <c r="AB146" s="5"/>
      <c r="AC146" s="174">
        <f>IFERROR(__xludf.DUMMYFUNCTION("""COMPUTED_VALUE"""),44176.66666666667)</f>
        <v>44176.66667</v>
      </c>
      <c r="AD146" s="175">
        <f>IFERROR(__xludf.DUMMYFUNCTION("""COMPUTED_VALUE"""),273.55)</f>
        <v>273.55</v>
      </c>
    </row>
    <row r="147" hidden="1">
      <c r="A147" s="1"/>
      <c r="B147" s="1"/>
      <c r="C147" s="261"/>
      <c r="D147" s="261"/>
      <c r="E147" s="261"/>
      <c r="F147" s="261"/>
      <c r="G147" s="261"/>
      <c r="H147" s="261"/>
      <c r="I147" s="261"/>
      <c r="J147" s="261"/>
      <c r="K147" s="261"/>
      <c r="M147" s="261"/>
      <c r="N147" s="261"/>
      <c r="O147" s="261"/>
      <c r="P147" s="261"/>
      <c r="Q147" s="261"/>
      <c r="R147" s="261"/>
      <c r="S147" s="261"/>
      <c r="T147" s="261"/>
      <c r="U147" s="5"/>
      <c r="V147" s="5"/>
      <c r="W147" s="5"/>
      <c r="X147" s="6"/>
      <c r="Y147" s="6"/>
      <c r="Z147" s="6"/>
      <c r="AA147" s="6"/>
      <c r="AB147" s="5"/>
      <c r="AC147" s="174">
        <f>IFERROR(__xludf.DUMMYFUNCTION("""COMPUTED_VALUE"""),44183.66666666667)</f>
        <v>44183.66667</v>
      </c>
      <c r="AD147" s="175">
        <f>IFERROR(__xludf.DUMMYFUNCTION("""COMPUTED_VALUE"""),276.4)</f>
        <v>276.4</v>
      </c>
    </row>
    <row r="148" hidden="1">
      <c r="A148" s="1"/>
      <c r="B148" s="1"/>
      <c r="C148" s="261"/>
      <c r="D148" s="261"/>
      <c r="E148" s="261"/>
      <c r="F148" s="261"/>
      <c r="G148" s="261"/>
      <c r="H148" s="261"/>
      <c r="I148" s="261"/>
      <c r="J148" s="261"/>
      <c r="K148" s="261"/>
      <c r="M148" s="261"/>
      <c r="N148" s="261"/>
      <c r="O148" s="261"/>
      <c r="P148" s="261"/>
      <c r="Q148" s="261"/>
      <c r="R148" s="261"/>
      <c r="S148" s="261"/>
      <c r="T148" s="261"/>
      <c r="U148" s="5"/>
      <c r="V148" s="5"/>
      <c r="W148" s="5"/>
      <c r="X148" s="6"/>
      <c r="Y148" s="6"/>
      <c r="Z148" s="6"/>
      <c r="AA148" s="6"/>
      <c r="AB148" s="5"/>
      <c r="AC148" s="174">
        <f>IFERROR(__xludf.DUMMYFUNCTION("""COMPUTED_VALUE"""),44189.54166666667)</f>
        <v>44189.54167</v>
      </c>
      <c r="AD148" s="175">
        <f>IFERROR(__xludf.DUMMYFUNCTION("""COMPUTED_VALUE"""),267.4)</f>
        <v>267.4</v>
      </c>
    </row>
    <row r="149" hidden="1">
      <c r="A149" s="1"/>
      <c r="B149" s="1"/>
      <c r="C149" s="261"/>
      <c r="D149" s="261"/>
      <c r="E149" s="261"/>
      <c r="F149" s="261"/>
      <c r="G149" s="261"/>
      <c r="H149" s="261"/>
      <c r="I149" s="261"/>
      <c r="J149" s="261"/>
      <c r="K149" s="261"/>
      <c r="M149" s="261"/>
      <c r="N149" s="261"/>
      <c r="O149" s="261"/>
      <c r="P149" s="261"/>
      <c r="Q149" s="261"/>
      <c r="R149" s="261"/>
      <c r="S149" s="261"/>
      <c r="T149" s="261"/>
      <c r="U149" s="5"/>
      <c r="V149" s="5"/>
      <c r="W149" s="5"/>
      <c r="X149" s="6"/>
      <c r="Y149" s="6"/>
      <c r="Z149" s="6"/>
      <c r="AA149" s="6"/>
      <c r="AB149" s="5"/>
      <c r="AC149" s="174">
        <f>IFERROR(__xludf.DUMMYFUNCTION("""COMPUTED_VALUE"""),44196.66666666667)</f>
        <v>44196.66667</v>
      </c>
      <c r="AD149" s="175">
        <f>IFERROR(__xludf.DUMMYFUNCTION("""COMPUTED_VALUE"""),273.16)</f>
        <v>273.16</v>
      </c>
    </row>
    <row r="150" hidden="1">
      <c r="A150" s="1"/>
      <c r="B150" s="1"/>
      <c r="C150" s="261"/>
      <c r="D150" s="261"/>
      <c r="E150" s="261"/>
      <c r="F150" s="261"/>
      <c r="G150" s="261"/>
      <c r="H150" s="261"/>
      <c r="I150" s="261"/>
      <c r="J150" s="261"/>
      <c r="K150" s="261"/>
      <c r="M150" s="261"/>
      <c r="N150" s="261"/>
      <c r="O150" s="261"/>
      <c r="P150" s="261"/>
      <c r="Q150" s="261"/>
      <c r="R150" s="261"/>
      <c r="S150" s="261"/>
      <c r="T150" s="261"/>
      <c r="U150" s="5"/>
      <c r="V150" s="5"/>
      <c r="W150" s="5"/>
      <c r="X150" s="6"/>
      <c r="Y150" s="6"/>
      <c r="Z150" s="6"/>
      <c r="AA150" s="6"/>
      <c r="AB150" s="5"/>
      <c r="AC150" s="174">
        <f>IFERROR(__xludf.DUMMYFUNCTION("""COMPUTED_VALUE"""),44204.66666666667)</f>
        <v>44204.66667</v>
      </c>
      <c r="AD150" s="175">
        <f>IFERROR(__xludf.DUMMYFUNCTION("""COMPUTED_VALUE"""),267.57)</f>
        <v>267.57</v>
      </c>
    </row>
    <row r="151" hidden="1">
      <c r="A151" s="1"/>
      <c r="B151" s="1"/>
      <c r="C151" s="261"/>
      <c r="D151" s="261"/>
      <c r="E151" s="261"/>
      <c r="F151" s="261"/>
      <c r="G151" s="261"/>
      <c r="H151" s="261"/>
      <c r="I151" s="261"/>
      <c r="J151" s="261"/>
      <c r="K151" s="261"/>
      <c r="M151" s="261"/>
      <c r="N151" s="261"/>
      <c r="O151" s="261"/>
      <c r="P151" s="261"/>
      <c r="Q151" s="261"/>
      <c r="R151" s="261"/>
      <c r="S151" s="261"/>
      <c r="T151" s="261"/>
      <c r="U151" s="5"/>
      <c r="V151" s="5"/>
      <c r="W151" s="5"/>
      <c r="X151" s="6"/>
      <c r="Y151" s="6"/>
      <c r="Z151" s="6"/>
      <c r="AA151" s="6"/>
      <c r="AB151" s="5"/>
      <c r="AC151" s="174">
        <f>IFERROR(__xludf.DUMMYFUNCTION("""COMPUTED_VALUE"""),44211.66666666667)</f>
        <v>44211.66667</v>
      </c>
      <c r="AD151" s="175">
        <f>IFERROR(__xludf.DUMMYFUNCTION("""COMPUTED_VALUE"""),251.36)</f>
        <v>251.36</v>
      </c>
    </row>
    <row r="152" hidden="1">
      <c r="A152" s="1"/>
      <c r="B152" s="1"/>
      <c r="C152" s="261"/>
      <c r="D152" s="261"/>
      <c r="E152" s="261"/>
      <c r="F152" s="261"/>
      <c r="G152" s="261"/>
      <c r="H152" s="261"/>
      <c r="I152" s="261"/>
      <c r="J152" s="261"/>
      <c r="K152" s="261"/>
      <c r="L152" s="1"/>
      <c r="M152" s="261"/>
      <c r="N152" s="261"/>
      <c r="O152" s="261"/>
      <c r="P152" s="261"/>
      <c r="Q152" s="261"/>
      <c r="R152" s="261"/>
      <c r="S152" s="261"/>
      <c r="T152" s="261"/>
      <c r="U152" s="5"/>
      <c r="V152" s="6"/>
      <c r="W152" s="6"/>
      <c r="X152" s="6"/>
      <c r="Y152" s="6"/>
      <c r="Z152" s="6"/>
      <c r="AA152" s="6"/>
      <c r="AB152" s="5"/>
      <c r="AC152" s="174">
        <f>IFERROR(__xludf.DUMMYFUNCTION("""COMPUTED_VALUE"""),44218.66666666667)</f>
        <v>44218.66667</v>
      </c>
      <c r="AD152" s="175">
        <f>IFERROR(__xludf.DUMMYFUNCTION("""COMPUTED_VALUE"""),274.5)</f>
        <v>274.5</v>
      </c>
    </row>
    <row r="153" hidden="1">
      <c r="A153" s="1"/>
      <c r="B153" s="1"/>
      <c r="C153" s="261"/>
      <c r="D153" s="261"/>
      <c r="E153" s="261"/>
      <c r="F153" s="261"/>
      <c r="G153" s="261"/>
      <c r="H153" s="261"/>
      <c r="I153" s="261"/>
      <c r="J153" s="261"/>
      <c r="K153" s="261"/>
      <c r="L153" s="1"/>
      <c r="M153" s="261"/>
      <c r="N153" s="261"/>
      <c r="O153" s="261"/>
      <c r="P153" s="261"/>
      <c r="Q153" s="261"/>
      <c r="R153" s="261"/>
      <c r="S153" s="261"/>
      <c r="T153" s="261"/>
      <c r="U153" s="5"/>
      <c r="V153" s="6"/>
      <c r="W153" s="6"/>
      <c r="X153" s="6"/>
      <c r="Y153" s="6"/>
      <c r="Z153" s="6"/>
      <c r="AA153" s="6"/>
      <c r="AB153" s="5"/>
      <c r="AC153" s="174">
        <f>IFERROR(__xludf.DUMMYFUNCTION("""COMPUTED_VALUE"""),44225.66666666667)</f>
        <v>44225.66667</v>
      </c>
      <c r="AD153" s="175">
        <f>IFERROR(__xludf.DUMMYFUNCTION("""COMPUTED_VALUE"""),258.33)</f>
        <v>258.33</v>
      </c>
    </row>
    <row r="154" hidden="1">
      <c r="A154" s="1"/>
      <c r="B154" s="1"/>
      <c r="C154" s="261"/>
      <c r="D154" s="261"/>
      <c r="E154" s="261"/>
      <c r="F154" s="261"/>
      <c r="G154" s="261"/>
      <c r="H154" s="261"/>
      <c r="I154" s="261"/>
      <c r="J154" s="261"/>
      <c r="K154" s="261"/>
      <c r="L154" s="1"/>
      <c r="M154" s="261"/>
      <c r="N154" s="261"/>
      <c r="O154" s="261"/>
      <c r="P154" s="261"/>
      <c r="Q154" s="261"/>
      <c r="R154" s="261"/>
      <c r="S154" s="261"/>
      <c r="T154" s="261"/>
      <c r="U154" s="5"/>
      <c r="V154" s="6"/>
      <c r="W154" s="6"/>
      <c r="X154" s="6"/>
      <c r="Y154" s="6"/>
      <c r="Z154" s="6"/>
      <c r="AA154" s="6"/>
      <c r="AB154" s="5"/>
      <c r="AC154" s="174">
        <f>IFERROR(__xludf.DUMMYFUNCTION("""COMPUTED_VALUE"""),44232.66666666667)</f>
        <v>44232.66667</v>
      </c>
      <c r="AD154" s="175">
        <f>IFERROR(__xludf.DUMMYFUNCTION("""COMPUTED_VALUE"""),268.1)</f>
        <v>268.1</v>
      </c>
    </row>
    <row r="155" hidden="1">
      <c r="A155" s="1"/>
      <c r="B155" s="1"/>
      <c r="C155" s="261"/>
      <c r="D155" s="261"/>
      <c r="E155" s="261"/>
      <c r="F155" s="261"/>
      <c r="G155" s="261"/>
      <c r="H155" s="261"/>
      <c r="I155" s="261"/>
      <c r="J155" s="261"/>
      <c r="K155" s="261"/>
      <c r="L155" s="1"/>
      <c r="M155" s="261"/>
      <c r="N155" s="261"/>
      <c r="O155" s="261"/>
      <c r="P155" s="261"/>
      <c r="Q155" s="261"/>
      <c r="R155" s="261"/>
      <c r="S155" s="261"/>
      <c r="T155" s="261"/>
      <c r="U155" s="5"/>
      <c r="V155" s="6"/>
      <c r="W155" s="6"/>
      <c r="X155" s="6"/>
      <c r="Y155" s="6"/>
      <c r="Z155" s="6"/>
      <c r="AA155" s="6"/>
      <c r="AB155" s="5"/>
      <c r="AC155" s="174">
        <f>IFERROR(__xludf.DUMMYFUNCTION("""COMPUTED_VALUE"""),44239.66666666667)</f>
        <v>44239.66667</v>
      </c>
      <c r="AD155" s="175">
        <f>IFERROR(__xludf.DUMMYFUNCTION("""COMPUTED_VALUE"""),270.5)</f>
        <v>270.5</v>
      </c>
    </row>
    <row r="156" hidden="1">
      <c r="A156" s="1"/>
      <c r="B156" s="1"/>
      <c r="C156" s="1"/>
      <c r="D156" s="1"/>
      <c r="E156" s="1"/>
      <c r="F156" s="1"/>
      <c r="G156" s="1"/>
      <c r="H156" s="1"/>
      <c r="I156" s="1"/>
      <c r="J156" s="1"/>
      <c r="K156" s="1"/>
      <c r="L156" s="1"/>
      <c r="M156" s="1"/>
      <c r="N156" s="1"/>
      <c r="O156" s="1"/>
      <c r="P156" s="1"/>
      <c r="Q156" s="1"/>
      <c r="R156" s="1"/>
      <c r="S156" s="1"/>
      <c r="T156" s="1"/>
      <c r="U156" s="5"/>
      <c r="V156" s="6"/>
      <c r="W156" s="6"/>
      <c r="X156" s="6"/>
      <c r="Y156" s="6"/>
      <c r="Z156" s="6"/>
      <c r="AA156" s="6"/>
      <c r="AB156" s="5"/>
      <c r="AC156" s="174">
        <f>IFERROR(__xludf.DUMMYFUNCTION("""COMPUTED_VALUE"""),44246.66666666667)</f>
        <v>44246.66667</v>
      </c>
      <c r="AD156" s="175">
        <f>IFERROR(__xludf.DUMMYFUNCTION("""COMPUTED_VALUE"""),261.56)</f>
        <v>261.56</v>
      </c>
    </row>
    <row r="157" hidden="1">
      <c r="A157" s="1"/>
      <c r="B157" s="1"/>
      <c r="C157" s="1"/>
      <c r="D157" s="1"/>
      <c r="E157" s="1"/>
      <c r="F157" s="1"/>
      <c r="G157" s="1"/>
      <c r="H157" s="1"/>
      <c r="I157" s="1"/>
      <c r="J157" s="1"/>
      <c r="K157" s="1"/>
      <c r="L157" s="1"/>
      <c r="M157" s="1"/>
      <c r="N157" s="1"/>
      <c r="O157" s="1"/>
      <c r="P157" s="1"/>
      <c r="Q157" s="1"/>
      <c r="R157" s="1"/>
      <c r="S157" s="1"/>
      <c r="T157" s="1"/>
      <c r="U157" s="5"/>
      <c r="V157" s="6"/>
      <c r="W157" s="6"/>
      <c r="X157" s="6"/>
      <c r="Y157" s="6"/>
      <c r="Z157" s="6"/>
      <c r="AA157" s="6"/>
      <c r="AB157" s="5"/>
      <c r="AC157" s="174">
        <f>IFERROR(__xludf.DUMMYFUNCTION("""COMPUTED_VALUE"""),44253.66666666667)</f>
        <v>44253.66667</v>
      </c>
      <c r="AD157" s="175">
        <f>IFERROR(__xludf.DUMMYFUNCTION("""COMPUTED_VALUE"""),257.62)</f>
        <v>257.62</v>
      </c>
    </row>
    <row r="158" hidden="1">
      <c r="A158" s="1"/>
      <c r="B158" s="1"/>
      <c r="C158" s="1"/>
      <c r="D158" s="1"/>
      <c r="E158" s="1"/>
      <c r="F158" s="1"/>
      <c r="G158" s="1"/>
      <c r="H158" s="1"/>
      <c r="I158" s="1"/>
      <c r="J158" s="1"/>
      <c r="K158" s="1"/>
      <c r="L158" s="1"/>
      <c r="M158" s="1"/>
      <c r="N158" s="1"/>
      <c r="O158" s="1"/>
      <c r="P158" s="1"/>
      <c r="Q158" s="1"/>
      <c r="R158" s="1"/>
      <c r="S158" s="1"/>
      <c r="T158" s="1"/>
      <c r="U158" s="5"/>
      <c r="V158" s="6"/>
      <c r="W158" s="6"/>
      <c r="X158" s="6"/>
      <c r="Y158" s="6"/>
      <c r="Z158" s="6"/>
      <c r="AA158" s="6"/>
      <c r="AB158" s="5"/>
      <c r="AC158" s="174">
        <f>IFERROR(__xludf.DUMMYFUNCTION("""COMPUTED_VALUE"""),44260.66666666667)</f>
        <v>44260.66667</v>
      </c>
      <c r="AD158" s="175">
        <f>IFERROR(__xludf.DUMMYFUNCTION("""COMPUTED_VALUE"""),264.28)</f>
        <v>264.28</v>
      </c>
    </row>
    <row r="159" hidden="1">
      <c r="A159" s="1"/>
      <c r="B159" s="1"/>
      <c r="C159" s="1"/>
      <c r="D159" s="1"/>
      <c r="E159" s="1"/>
      <c r="F159" s="1"/>
      <c r="G159" s="157"/>
      <c r="H159" s="157"/>
      <c r="I159" s="157"/>
      <c r="J159" s="157"/>
      <c r="K159" s="157"/>
      <c r="L159" s="1"/>
      <c r="M159" s="1"/>
      <c r="N159" s="1"/>
      <c r="O159" s="1"/>
      <c r="P159" s="1"/>
      <c r="Q159" s="1"/>
      <c r="R159" s="1"/>
      <c r="S159" s="1"/>
      <c r="T159" s="1"/>
      <c r="U159" s="5"/>
      <c r="V159" s="6"/>
      <c r="W159" s="6"/>
      <c r="X159" s="6"/>
      <c r="Y159" s="6"/>
      <c r="Z159" s="6"/>
      <c r="AA159" s="6"/>
      <c r="AB159" s="5"/>
      <c r="AC159" s="174">
        <f>IFERROR(__xludf.DUMMYFUNCTION("""COMPUTED_VALUE"""),44267.66666666667)</f>
        <v>44267.66667</v>
      </c>
      <c r="AD159" s="175">
        <f>IFERROR(__xludf.DUMMYFUNCTION("""COMPUTED_VALUE"""),268.4)</f>
        <v>268.4</v>
      </c>
    </row>
    <row r="160" hidden="1">
      <c r="A160" s="1"/>
      <c r="B160" s="1"/>
      <c r="C160" s="1"/>
      <c r="D160" s="1"/>
      <c r="E160" s="1"/>
      <c r="F160" s="1"/>
      <c r="G160" s="157"/>
      <c r="H160" s="157"/>
      <c r="I160" s="157"/>
      <c r="J160" s="157"/>
      <c r="K160" s="157"/>
      <c r="L160" s="1"/>
      <c r="M160" s="1"/>
      <c r="N160" s="1"/>
      <c r="O160" s="1"/>
      <c r="P160" s="1"/>
      <c r="Q160" s="1"/>
      <c r="R160" s="1"/>
      <c r="S160" s="1"/>
      <c r="T160" s="1"/>
      <c r="U160" s="5"/>
      <c r="V160" s="6"/>
      <c r="W160" s="6"/>
      <c r="X160" s="6"/>
      <c r="Y160" s="6"/>
      <c r="Z160" s="6"/>
      <c r="AA160" s="6"/>
      <c r="AB160" s="5"/>
      <c r="AC160" s="174">
        <f>IFERROR(__xludf.DUMMYFUNCTION("""COMPUTED_VALUE"""),44274.66666666667)</f>
        <v>44274.66667</v>
      </c>
      <c r="AD160" s="175">
        <f>IFERROR(__xludf.DUMMYFUNCTION("""COMPUTED_VALUE"""),290.11)</f>
        <v>290.11</v>
      </c>
    </row>
    <row r="161" hidden="1">
      <c r="A161" s="1"/>
      <c r="B161" s="1"/>
      <c r="C161" s="1"/>
      <c r="D161" s="1"/>
      <c r="E161" s="1"/>
      <c r="F161" s="1"/>
      <c r="G161" s="157"/>
      <c r="H161" s="157"/>
      <c r="I161" s="157"/>
      <c r="J161" s="157"/>
      <c r="K161" s="157"/>
      <c r="L161" s="1"/>
      <c r="M161" s="1"/>
      <c r="N161" s="1"/>
      <c r="O161" s="1"/>
      <c r="P161" s="1"/>
      <c r="Q161" s="1"/>
      <c r="R161" s="1"/>
      <c r="S161" s="1"/>
      <c r="T161" s="1"/>
      <c r="U161" s="5"/>
      <c r="V161" s="6"/>
      <c r="W161" s="6"/>
      <c r="X161" s="6"/>
      <c r="Y161" s="6"/>
      <c r="Z161" s="6"/>
      <c r="AA161" s="6"/>
      <c r="AB161" s="5"/>
      <c r="AC161" s="174">
        <f>IFERROR(__xludf.DUMMYFUNCTION("""COMPUTED_VALUE"""),44281.66666666667)</f>
        <v>44281.66667</v>
      </c>
      <c r="AD161" s="175">
        <f>IFERROR(__xludf.DUMMYFUNCTION("""COMPUTED_VALUE"""),283.02)</f>
        <v>283.02</v>
      </c>
    </row>
    <row r="162" hidden="1">
      <c r="A162" s="1"/>
      <c r="B162" s="1"/>
      <c r="C162" s="1"/>
      <c r="D162" s="1"/>
      <c r="E162" s="1"/>
      <c r="F162" s="1"/>
      <c r="G162" s="157"/>
      <c r="H162" s="157"/>
      <c r="I162" s="157"/>
      <c r="J162" s="157"/>
      <c r="K162" s="157"/>
      <c r="L162" s="1"/>
      <c r="M162" s="1"/>
      <c r="N162" s="1"/>
      <c r="O162" s="1"/>
      <c r="P162" s="1"/>
      <c r="Q162" s="1"/>
      <c r="R162" s="1"/>
      <c r="S162" s="1"/>
      <c r="T162" s="1"/>
      <c r="U162" s="5"/>
      <c r="V162" s="6"/>
      <c r="W162" s="6"/>
      <c r="X162" s="6"/>
      <c r="Y162" s="6"/>
      <c r="Z162" s="6"/>
      <c r="AA162" s="6"/>
      <c r="AB162" s="5"/>
      <c r="AC162" s="174">
        <f>IFERROR(__xludf.DUMMYFUNCTION("""COMPUTED_VALUE"""),44287.66666666667)</f>
        <v>44287.66667</v>
      </c>
      <c r="AD162" s="175">
        <f>IFERROR(__xludf.DUMMYFUNCTION("""COMPUTED_VALUE"""),298.66)</f>
        <v>298.66</v>
      </c>
    </row>
    <row r="163" hidden="1">
      <c r="A163" s="1"/>
      <c r="B163" s="1"/>
      <c r="C163" s="1"/>
      <c r="D163" s="1"/>
      <c r="E163" s="1"/>
      <c r="F163" s="1"/>
      <c r="G163" s="157"/>
      <c r="H163" s="157"/>
      <c r="I163" s="157"/>
      <c r="J163" s="157"/>
      <c r="K163" s="157"/>
      <c r="L163" s="1"/>
      <c r="M163" s="1"/>
      <c r="N163" s="1"/>
      <c r="O163" s="1"/>
      <c r="P163" s="1"/>
      <c r="Q163" s="1"/>
      <c r="R163" s="1"/>
      <c r="S163" s="1"/>
      <c r="T163" s="1"/>
      <c r="U163" s="5"/>
      <c r="V163" s="6"/>
      <c r="W163" s="6"/>
      <c r="X163" s="6"/>
      <c r="Y163" s="6"/>
      <c r="Z163" s="6"/>
      <c r="AA163" s="6"/>
      <c r="AB163" s="5"/>
      <c r="AC163" s="174">
        <f>IFERROR(__xludf.DUMMYFUNCTION("""COMPUTED_VALUE"""),44295.66666666667)</f>
        <v>44295.66667</v>
      </c>
      <c r="AD163" s="175">
        <f>IFERROR(__xludf.DUMMYFUNCTION("""COMPUTED_VALUE"""),312.46)</f>
        <v>312.46</v>
      </c>
    </row>
    <row r="164" hidden="1">
      <c r="A164" s="1"/>
      <c r="B164" s="1"/>
      <c r="C164" s="1"/>
      <c r="D164" s="1"/>
      <c r="E164" s="1"/>
      <c r="F164" s="1"/>
      <c r="G164" s="157"/>
      <c r="H164" s="157"/>
      <c r="I164" s="157"/>
      <c r="J164" s="157"/>
      <c r="K164" s="157"/>
      <c r="L164" s="1"/>
      <c r="M164" s="1"/>
      <c r="N164" s="1"/>
      <c r="O164" s="1"/>
      <c r="P164" s="1"/>
      <c r="Q164" s="1"/>
      <c r="R164" s="1"/>
      <c r="S164" s="1"/>
      <c r="T164" s="1"/>
      <c r="U164" s="5"/>
      <c r="V164" s="6"/>
      <c r="W164" s="6"/>
      <c r="X164" s="6"/>
      <c r="Y164" s="6"/>
      <c r="Z164" s="6"/>
      <c r="AA164" s="6"/>
      <c r="AB164" s="5"/>
      <c r="AC164" s="174">
        <f>IFERROR(__xludf.DUMMYFUNCTION("""COMPUTED_VALUE"""),44302.66666666667)</f>
        <v>44302.66667</v>
      </c>
      <c r="AD164" s="175">
        <f>IFERROR(__xludf.DUMMYFUNCTION("""COMPUTED_VALUE"""),306.18)</f>
        <v>306.18</v>
      </c>
    </row>
    <row r="165" hidden="1">
      <c r="A165" s="1"/>
      <c r="B165" s="1"/>
      <c r="C165" s="1"/>
      <c r="D165" s="1"/>
      <c r="E165" s="1"/>
      <c r="F165" s="1"/>
      <c r="G165" s="157"/>
      <c r="H165" s="157"/>
      <c r="I165" s="157"/>
      <c r="J165" s="157"/>
      <c r="K165" s="157"/>
      <c r="L165" s="1"/>
      <c r="M165" s="1"/>
      <c r="N165" s="1"/>
      <c r="O165" s="1"/>
      <c r="P165" s="1"/>
      <c r="Q165" s="1"/>
      <c r="R165" s="1"/>
      <c r="S165" s="1"/>
      <c r="T165" s="1"/>
      <c r="U165" s="5"/>
      <c r="V165" s="6"/>
      <c r="W165" s="6"/>
      <c r="X165" s="6"/>
      <c r="Y165" s="6"/>
      <c r="Z165" s="6"/>
      <c r="AA165" s="6"/>
      <c r="AB165" s="5"/>
      <c r="AC165" s="174">
        <f>IFERROR(__xludf.DUMMYFUNCTION("""COMPUTED_VALUE"""),44309.66666666667)</f>
        <v>44309.66667</v>
      </c>
      <c r="AD165" s="175">
        <f>IFERROR(__xludf.DUMMYFUNCTION("""COMPUTED_VALUE"""),301.13)</f>
        <v>301.13</v>
      </c>
    </row>
    <row r="166" hidden="1">
      <c r="A166" s="1"/>
      <c r="B166" s="1"/>
      <c r="C166" s="1"/>
      <c r="D166" s="1"/>
      <c r="E166" s="1"/>
      <c r="F166" s="1"/>
      <c r="G166" s="1"/>
      <c r="H166" s="1"/>
      <c r="I166" s="1"/>
      <c r="J166" s="1"/>
      <c r="K166" s="1"/>
      <c r="L166" s="1"/>
      <c r="M166" s="1"/>
      <c r="N166" s="1"/>
      <c r="O166" s="1"/>
      <c r="P166" s="1"/>
      <c r="Q166" s="1"/>
      <c r="R166" s="1"/>
      <c r="S166" s="1"/>
      <c r="T166" s="1"/>
      <c r="U166" s="5"/>
      <c r="V166" s="6"/>
      <c r="W166" s="6"/>
      <c r="X166" s="6"/>
      <c r="Y166" s="6"/>
      <c r="Z166" s="6"/>
      <c r="AA166" s="6"/>
      <c r="AB166" s="5"/>
      <c r="AC166" s="174">
        <f>IFERROR(__xludf.DUMMYFUNCTION("""COMPUTED_VALUE"""),44316.66666666667)</f>
        <v>44316.66667</v>
      </c>
      <c r="AD166" s="175">
        <f>IFERROR(__xludf.DUMMYFUNCTION("""COMPUTED_VALUE"""),325.08)</f>
        <v>325.08</v>
      </c>
    </row>
    <row r="167" hidden="1">
      <c r="A167" s="1"/>
      <c r="B167" s="1"/>
      <c r="C167" s="1"/>
      <c r="D167" s="1"/>
      <c r="E167" s="1"/>
      <c r="F167" s="1"/>
      <c r="G167" s="1"/>
      <c r="H167" s="1"/>
      <c r="I167" s="1"/>
      <c r="J167" s="1"/>
      <c r="K167" s="1"/>
      <c r="L167" s="1"/>
      <c r="M167" s="1"/>
      <c r="N167" s="1"/>
      <c r="O167" s="1"/>
      <c r="P167" s="1"/>
      <c r="Q167" s="1"/>
      <c r="R167" s="1"/>
      <c r="S167" s="1"/>
      <c r="T167" s="1"/>
      <c r="U167" s="5"/>
      <c r="V167" s="6"/>
      <c r="W167" s="6"/>
      <c r="X167" s="6"/>
      <c r="Y167" s="6"/>
      <c r="Z167" s="6"/>
      <c r="AA167" s="6"/>
      <c r="AB167" s="5"/>
      <c r="AC167" s="174">
        <f>IFERROR(__xludf.DUMMYFUNCTION("""COMPUTED_VALUE"""),44323.66666666667)</f>
        <v>44323.66667</v>
      </c>
      <c r="AD167" s="175">
        <f>IFERROR(__xludf.DUMMYFUNCTION("""COMPUTED_VALUE"""),319.08)</f>
        <v>319.08</v>
      </c>
    </row>
    <row r="168" hidden="1">
      <c r="A168" s="1"/>
      <c r="B168" s="1"/>
      <c r="C168" s="1"/>
      <c r="D168" s="1"/>
      <c r="E168" s="1"/>
      <c r="F168" s="1"/>
      <c r="G168" s="1"/>
      <c r="H168" s="1"/>
      <c r="I168" s="1"/>
      <c r="J168" s="1"/>
      <c r="K168" s="1"/>
      <c r="L168" s="1"/>
      <c r="M168" s="1"/>
      <c r="N168" s="1"/>
      <c r="O168" s="1"/>
      <c r="P168" s="1"/>
      <c r="Q168" s="1"/>
      <c r="R168" s="1"/>
      <c r="S168" s="1"/>
      <c r="T168" s="1"/>
      <c r="U168" s="5"/>
      <c r="V168" s="6"/>
      <c r="W168" s="6"/>
      <c r="X168" s="6"/>
      <c r="Y168" s="6"/>
      <c r="Z168" s="6"/>
      <c r="AA168" s="6"/>
      <c r="AB168" s="5"/>
      <c r="AC168" s="174">
        <f>IFERROR(__xludf.DUMMYFUNCTION("""COMPUTED_VALUE"""),44330.66666666667)</f>
        <v>44330.66667</v>
      </c>
      <c r="AD168" s="175">
        <f>IFERROR(__xludf.DUMMYFUNCTION("""COMPUTED_VALUE"""),315.94)</f>
        <v>315.94</v>
      </c>
    </row>
    <row r="169" hidden="1">
      <c r="A169" s="1"/>
      <c r="B169" s="1"/>
      <c r="C169" s="1"/>
      <c r="D169" s="1"/>
      <c r="E169" s="1"/>
      <c r="F169" s="1"/>
      <c r="G169" s="1"/>
      <c r="H169" s="1"/>
      <c r="I169" s="1"/>
      <c r="J169" s="1"/>
      <c r="K169" s="1"/>
      <c r="L169" s="1"/>
      <c r="M169" s="1"/>
      <c r="N169" s="1"/>
      <c r="O169" s="1"/>
      <c r="P169" s="1"/>
      <c r="Q169" s="1"/>
      <c r="R169" s="1"/>
      <c r="S169" s="1"/>
      <c r="T169" s="1"/>
      <c r="U169" s="5"/>
      <c r="V169" s="6"/>
      <c r="W169" s="6"/>
      <c r="X169" s="6"/>
      <c r="Y169" s="6"/>
      <c r="Z169" s="6"/>
      <c r="AA169" s="6"/>
      <c r="AB169" s="5"/>
      <c r="AC169" s="174">
        <f>IFERROR(__xludf.DUMMYFUNCTION("""COMPUTED_VALUE"""),44337.66666666667)</f>
        <v>44337.66667</v>
      </c>
      <c r="AD169" s="175">
        <f>IFERROR(__xludf.DUMMYFUNCTION("""COMPUTED_VALUE"""),316.23)</f>
        <v>316.23</v>
      </c>
    </row>
    <row r="170" hidden="1">
      <c r="A170" s="1"/>
      <c r="B170" s="1"/>
      <c r="C170" s="1"/>
      <c r="D170" s="8"/>
      <c r="E170" s="1"/>
      <c r="F170" s="1"/>
      <c r="G170" s="1"/>
      <c r="H170" s="1"/>
      <c r="I170" s="1"/>
      <c r="J170" s="1"/>
      <c r="K170" s="1"/>
      <c r="L170" s="1"/>
      <c r="M170" s="1"/>
      <c r="N170" s="1"/>
      <c r="O170" s="1"/>
      <c r="P170" s="1"/>
      <c r="Q170" s="1"/>
      <c r="R170" s="1"/>
      <c r="S170" s="1"/>
      <c r="T170" s="1"/>
      <c r="U170" s="5"/>
      <c r="V170" s="6"/>
      <c r="W170" s="6"/>
      <c r="X170" s="6"/>
      <c r="Y170" s="6"/>
      <c r="Z170" s="6"/>
      <c r="AA170" s="6"/>
      <c r="AB170" s="5"/>
      <c r="AC170" s="174">
        <f>IFERROR(__xludf.DUMMYFUNCTION("""COMPUTED_VALUE"""),44344.66666666667)</f>
        <v>44344.66667</v>
      </c>
      <c r="AD170" s="175">
        <f>IFERROR(__xludf.DUMMYFUNCTION("""COMPUTED_VALUE"""),328.73)</f>
        <v>328.73</v>
      </c>
    </row>
    <row r="171" hidden="1">
      <c r="A171" s="1"/>
      <c r="B171" s="1"/>
      <c r="C171" s="1"/>
      <c r="D171" s="8"/>
      <c r="E171" s="1"/>
      <c r="F171" s="1"/>
      <c r="G171" s="1"/>
      <c r="H171" s="1"/>
      <c r="I171" s="1"/>
      <c r="J171" s="1"/>
      <c r="K171" s="1"/>
      <c r="L171" s="1"/>
      <c r="M171" s="1"/>
      <c r="N171" s="1"/>
      <c r="O171" s="1"/>
      <c r="P171" s="1"/>
      <c r="Q171" s="1"/>
      <c r="R171" s="1"/>
      <c r="S171" s="1"/>
      <c r="T171" s="1"/>
      <c r="U171" s="5"/>
      <c r="V171" s="6"/>
      <c r="W171" s="6"/>
      <c r="X171" s="6"/>
      <c r="Y171" s="6"/>
      <c r="Z171" s="6"/>
      <c r="AA171" s="6"/>
      <c r="AB171" s="5"/>
      <c r="AC171" s="174">
        <f>IFERROR(__xludf.DUMMYFUNCTION("""COMPUTED_VALUE"""),44351.66666666667)</f>
        <v>44351.66667</v>
      </c>
      <c r="AD171" s="175">
        <f>IFERROR(__xludf.DUMMYFUNCTION("""COMPUTED_VALUE"""),330.35)</f>
        <v>330.35</v>
      </c>
    </row>
    <row r="172" hidden="1">
      <c r="A172" s="1"/>
      <c r="B172" s="1"/>
      <c r="C172" s="1"/>
      <c r="D172" s="8"/>
      <c r="E172" s="1"/>
      <c r="F172" s="1"/>
      <c r="G172" s="1"/>
      <c r="H172" s="1"/>
      <c r="I172" s="1"/>
      <c r="J172" s="1"/>
      <c r="K172" s="1"/>
      <c r="L172" s="1"/>
      <c r="M172" s="1"/>
      <c r="N172" s="1"/>
      <c r="O172" s="1"/>
      <c r="P172" s="1"/>
      <c r="Q172" s="1"/>
      <c r="R172" s="1"/>
      <c r="S172" s="1"/>
      <c r="T172" s="1"/>
      <c r="U172" s="5"/>
      <c r="V172" s="6"/>
      <c r="W172" s="6"/>
      <c r="X172" s="6"/>
      <c r="Y172" s="6"/>
      <c r="Z172" s="6"/>
      <c r="AA172" s="6"/>
      <c r="AB172" s="5"/>
      <c r="AC172" s="174">
        <f>IFERROR(__xludf.DUMMYFUNCTION("""COMPUTED_VALUE"""),44358.66666666667)</f>
        <v>44358.66667</v>
      </c>
      <c r="AD172" s="175">
        <f>IFERROR(__xludf.DUMMYFUNCTION("""COMPUTED_VALUE"""),331.26)</f>
        <v>331.26</v>
      </c>
    </row>
    <row r="173" hidden="1">
      <c r="A173" s="1"/>
      <c r="B173" s="1"/>
      <c r="C173" s="1"/>
      <c r="D173" s="8"/>
      <c r="E173" s="1"/>
      <c r="F173" s="1"/>
      <c r="G173" s="1"/>
      <c r="H173" s="1"/>
      <c r="I173" s="1"/>
      <c r="J173" s="1"/>
      <c r="K173" s="1"/>
      <c r="L173" s="1"/>
      <c r="M173" s="1"/>
      <c r="N173" s="1"/>
      <c r="O173" s="1"/>
      <c r="P173" s="1"/>
      <c r="Q173" s="1"/>
      <c r="R173" s="1"/>
      <c r="S173" s="1"/>
      <c r="T173" s="1"/>
      <c r="U173" s="5"/>
      <c r="V173" s="6"/>
      <c r="W173" s="6"/>
      <c r="X173" s="6"/>
      <c r="Y173" s="6"/>
      <c r="Z173" s="6"/>
      <c r="AA173" s="6"/>
      <c r="AB173" s="5"/>
      <c r="AC173" s="174">
        <f>IFERROR(__xludf.DUMMYFUNCTION("""COMPUTED_VALUE"""),44365.66666666667)</f>
        <v>44365.66667</v>
      </c>
      <c r="AD173" s="175">
        <f>IFERROR(__xludf.DUMMYFUNCTION("""COMPUTED_VALUE"""),329.66)</f>
        <v>329.66</v>
      </c>
    </row>
    <row r="174" hidden="1">
      <c r="A174" s="1"/>
      <c r="B174" s="1"/>
      <c r="C174" s="1"/>
      <c r="D174" s="8"/>
      <c r="E174" s="1"/>
      <c r="F174" s="1"/>
      <c r="G174" s="1"/>
      <c r="H174" s="1"/>
      <c r="I174" s="1"/>
      <c r="J174" s="1"/>
      <c r="K174" s="1"/>
      <c r="L174" s="1"/>
      <c r="M174" s="1"/>
      <c r="N174" s="1"/>
      <c r="O174" s="1"/>
      <c r="P174" s="1"/>
      <c r="Q174" s="1"/>
      <c r="R174" s="1"/>
      <c r="S174" s="1"/>
      <c r="T174" s="1"/>
      <c r="U174" s="5"/>
      <c r="V174" s="6"/>
      <c r="W174" s="6"/>
      <c r="X174" s="6"/>
      <c r="Y174" s="6"/>
      <c r="Z174" s="6"/>
      <c r="AA174" s="6"/>
      <c r="AB174" s="5"/>
      <c r="AC174" s="174">
        <f>IFERROR(__xludf.DUMMYFUNCTION("""COMPUTED_VALUE"""),44372.66666666667)</f>
        <v>44372.66667</v>
      </c>
      <c r="AD174" s="175">
        <f>IFERROR(__xludf.DUMMYFUNCTION("""COMPUTED_VALUE"""),341.37)</f>
        <v>341.37</v>
      </c>
    </row>
    <row r="175" hidden="1">
      <c r="A175" s="1"/>
      <c r="B175" s="1"/>
      <c r="C175" s="1"/>
      <c r="D175" s="1"/>
      <c r="E175" s="1"/>
      <c r="F175" s="1"/>
      <c r="G175" s="1"/>
      <c r="H175" s="1"/>
      <c r="I175" s="1"/>
      <c r="J175" s="1"/>
      <c r="K175" s="1"/>
      <c r="L175" s="1"/>
      <c r="M175" s="1"/>
      <c r="N175" s="1"/>
      <c r="O175" s="1"/>
      <c r="P175" s="1"/>
      <c r="Q175" s="1"/>
      <c r="R175" s="1"/>
      <c r="S175" s="1"/>
      <c r="T175" s="1"/>
      <c r="U175" s="5"/>
      <c r="V175" s="6"/>
      <c r="W175" s="6"/>
      <c r="X175" s="6"/>
      <c r="Y175" s="6"/>
      <c r="Z175" s="6"/>
      <c r="AA175" s="6"/>
      <c r="AB175" s="5"/>
      <c r="AC175" s="174">
        <f>IFERROR(__xludf.DUMMYFUNCTION("""COMPUTED_VALUE"""),44379.66666666667)</f>
        <v>44379.66667</v>
      </c>
      <c r="AD175" s="175">
        <f>IFERROR(__xludf.DUMMYFUNCTION("""COMPUTED_VALUE"""),354.7)</f>
        <v>354.7</v>
      </c>
    </row>
    <row r="176" hidden="1">
      <c r="A176" s="1"/>
      <c r="B176" s="1"/>
      <c r="C176" s="1"/>
      <c r="D176" s="1"/>
      <c r="E176" s="1"/>
      <c r="F176" s="1"/>
      <c r="G176" s="1"/>
      <c r="H176" s="1"/>
      <c r="I176" s="1"/>
      <c r="J176" s="1"/>
      <c r="K176" s="1"/>
      <c r="L176" s="1"/>
      <c r="M176" s="1"/>
      <c r="N176" s="1"/>
      <c r="O176" s="1"/>
      <c r="P176" s="1"/>
      <c r="Q176" s="1"/>
      <c r="R176" s="1"/>
      <c r="S176" s="1"/>
      <c r="T176" s="1"/>
      <c r="U176" s="5"/>
      <c r="V176" s="6"/>
      <c r="W176" s="6"/>
      <c r="X176" s="6"/>
      <c r="Y176" s="6"/>
      <c r="Z176" s="6"/>
      <c r="AA176" s="6"/>
      <c r="AB176" s="5"/>
      <c r="AC176" s="174">
        <f>IFERROR(__xludf.DUMMYFUNCTION("""COMPUTED_VALUE"""),44386.66666666667)</f>
        <v>44386.66667</v>
      </c>
      <c r="AD176" s="175">
        <f>IFERROR(__xludf.DUMMYFUNCTION("""COMPUTED_VALUE"""),350.42)</f>
        <v>350.42</v>
      </c>
    </row>
    <row r="177" hidden="1">
      <c r="A177" s="1"/>
      <c r="B177" s="1"/>
      <c r="C177" s="1"/>
      <c r="D177" s="1"/>
      <c r="E177" s="1"/>
      <c r="F177" s="1"/>
      <c r="G177" s="1"/>
      <c r="H177" s="1"/>
      <c r="I177" s="1"/>
      <c r="J177" s="1"/>
      <c r="K177" s="1"/>
      <c r="L177" s="1"/>
      <c r="M177" s="1"/>
      <c r="N177" s="1"/>
      <c r="O177" s="1"/>
      <c r="P177" s="1"/>
      <c r="Q177" s="1"/>
      <c r="R177" s="1"/>
      <c r="S177" s="1"/>
      <c r="T177" s="1"/>
      <c r="U177" s="5"/>
      <c r="V177" s="6"/>
      <c r="W177" s="6"/>
      <c r="X177" s="6"/>
      <c r="Y177" s="6"/>
      <c r="Z177" s="6"/>
      <c r="AA177" s="6"/>
      <c r="AB177" s="5"/>
      <c r="AC177" s="174">
        <f>IFERROR(__xludf.DUMMYFUNCTION("""COMPUTED_VALUE"""),44393.66666666667)</f>
        <v>44393.66667</v>
      </c>
      <c r="AD177" s="175">
        <f>IFERROR(__xludf.DUMMYFUNCTION("""COMPUTED_VALUE"""),341.16)</f>
        <v>341.16</v>
      </c>
    </row>
    <row r="178" hidden="1">
      <c r="A178" s="1"/>
      <c r="B178" s="1"/>
      <c r="C178" s="1"/>
      <c r="D178" s="1"/>
      <c r="E178" s="1"/>
      <c r="F178" s="1"/>
      <c r="G178" s="1"/>
      <c r="H178" s="1"/>
      <c r="I178" s="1"/>
      <c r="J178" s="1"/>
      <c r="K178" s="1"/>
      <c r="L178" s="1"/>
      <c r="M178" s="1"/>
      <c r="N178" s="1"/>
      <c r="O178" s="1"/>
      <c r="P178" s="1"/>
      <c r="Q178" s="1"/>
      <c r="R178" s="1"/>
      <c r="S178" s="1"/>
      <c r="T178" s="1"/>
      <c r="U178" s="5"/>
      <c r="V178" s="6"/>
      <c r="W178" s="6"/>
      <c r="X178" s="6"/>
      <c r="Y178" s="6"/>
      <c r="Z178" s="6"/>
      <c r="AA178" s="6"/>
      <c r="AB178" s="5"/>
      <c r="AC178" s="174">
        <f>IFERROR(__xludf.DUMMYFUNCTION("""COMPUTED_VALUE"""),44400.66666666667)</f>
        <v>44400.66667</v>
      </c>
      <c r="AD178" s="175">
        <f>IFERROR(__xludf.DUMMYFUNCTION("""COMPUTED_VALUE"""),369.79)</f>
        <v>369.79</v>
      </c>
    </row>
    <row r="179" hidden="1">
      <c r="A179" s="1"/>
      <c r="B179" s="1"/>
      <c r="C179" s="1"/>
      <c r="D179" s="1"/>
      <c r="E179" s="1"/>
      <c r="F179" s="1"/>
      <c r="G179" s="1"/>
      <c r="H179" s="1"/>
      <c r="I179" s="1"/>
      <c r="J179" s="1"/>
      <c r="K179" s="1"/>
      <c r="L179" s="1"/>
      <c r="M179" s="1"/>
      <c r="N179" s="1"/>
      <c r="O179" s="1"/>
      <c r="P179" s="1"/>
      <c r="Q179" s="1"/>
      <c r="R179" s="1"/>
      <c r="S179" s="1"/>
      <c r="T179" s="1"/>
      <c r="U179" s="5"/>
      <c r="V179" s="6"/>
      <c r="W179" s="6"/>
      <c r="X179" s="6"/>
      <c r="Y179" s="6"/>
      <c r="Z179" s="6"/>
      <c r="AA179" s="6"/>
      <c r="AB179" s="5"/>
      <c r="AC179" s="174">
        <f>IFERROR(__xludf.DUMMYFUNCTION("""COMPUTED_VALUE"""),44407.66666666667)</f>
        <v>44407.66667</v>
      </c>
      <c r="AD179" s="175">
        <f>IFERROR(__xludf.DUMMYFUNCTION("""COMPUTED_VALUE"""),356.3)</f>
        <v>356.3</v>
      </c>
    </row>
    <row r="180" hidden="1">
      <c r="A180" s="1"/>
      <c r="B180" s="1"/>
      <c r="C180" s="1"/>
      <c r="D180" s="1"/>
      <c r="E180" s="1"/>
      <c r="F180" s="1"/>
      <c r="G180" s="1"/>
      <c r="H180" s="1"/>
      <c r="I180" s="1"/>
      <c r="J180" s="1"/>
      <c r="K180" s="1"/>
      <c r="L180" s="1"/>
      <c r="M180" s="1"/>
      <c r="N180" s="1"/>
      <c r="O180" s="1"/>
      <c r="P180" s="1"/>
      <c r="Q180" s="1"/>
      <c r="R180" s="1"/>
      <c r="S180" s="1"/>
      <c r="T180" s="1"/>
      <c r="U180" s="5"/>
      <c r="V180" s="6"/>
      <c r="W180" s="6"/>
      <c r="X180" s="6"/>
      <c r="Y180" s="6"/>
      <c r="Z180" s="6"/>
      <c r="AA180" s="6"/>
      <c r="AB180" s="5"/>
      <c r="AC180" s="174">
        <f>IFERROR(__xludf.DUMMYFUNCTION("""COMPUTED_VALUE"""),44414.66666666667)</f>
        <v>44414.66667</v>
      </c>
      <c r="AD180" s="175">
        <f>IFERROR(__xludf.DUMMYFUNCTION("""COMPUTED_VALUE"""),363.51)</f>
        <v>363.51</v>
      </c>
    </row>
    <row r="181" hidden="1">
      <c r="A181" s="1"/>
      <c r="B181" s="1"/>
      <c r="C181" s="1"/>
      <c r="D181" s="1"/>
      <c r="E181" s="1"/>
      <c r="F181" s="1"/>
      <c r="G181" s="1"/>
      <c r="H181" s="1"/>
      <c r="I181" s="1"/>
      <c r="J181" s="1"/>
      <c r="K181" s="1"/>
      <c r="L181" s="1"/>
      <c r="M181" s="1"/>
      <c r="N181" s="1"/>
      <c r="O181" s="1"/>
      <c r="P181" s="1"/>
      <c r="Q181" s="1"/>
      <c r="R181" s="1"/>
      <c r="S181" s="1"/>
      <c r="T181" s="1"/>
      <c r="U181" s="5"/>
      <c r="V181" s="6"/>
      <c r="W181" s="6"/>
      <c r="X181" s="6"/>
      <c r="Y181" s="6"/>
      <c r="Z181" s="6"/>
      <c r="AA181" s="6"/>
      <c r="AB181" s="5"/>
      <c r="AC181" s="174">
        <f>IFERROR(__xludf.DUMMYFUNCTION("""COMPUTED_VALUE"""),44421.66666666667)</f>
        <v>44421.66667</v>
      </c>
      <c r="AD181" s="175">
        <f>IFERROR(__xludf.DUMMYFUNCTION("""COMPUTED_VALUE"""),363.18)</f>
        <v>363.18</v>
      </c>
    </row>
    <row r="182" hidden="1">
      <c r="A182" s="1"/>
      <c r="B182" s="1"/>
      <c r="C182" s="1"/>
      <c r="D182" s="1"/>
      <c r="E182" s="1"/>
      <c r="F182" s="1"/>
      <c r="G182" s="1"/>
      <c r="H182" s="1"/>
      <c r="I182" s="1"/>
      <c r="J182" s="1"/>
      <c r="K182" s="1"/>
      <c r="L182" s="1"/>
      <c r="M182" s="1"/>
      <c r="N182" s="1"/>
      <c r="O182" s="1"/>
      <c r="P182" s="1"/>
      <c r="Q182" s="1"/>
      <c r="R182" s="1"/>
      <c r="S182" s="1"/>
      <c r="T182" s="1"/>
      <c r="U182" s="5"/>
      <c r="V182" s="6"/>
      <c r="W182" s="6"/>
      <c r="X182" s="6"/>
      <c r="Y182" s="6"/>
      <c r="Z182" s="6"/>
      <c r="AA182" s="6"/>
      <c r="AB182" s="5"/>
      <c r="AC182" s="174">
        <f>IFERROR(__xludf.DUMMYFUNCTION("""COMPUTED_VALUE"""),44428.66666666667)</f>
        <v>44428.66667</v>
      </c>
      <c r="AD182" s="175">
        <f>IFERROR(__xludf.DUMMYFUNCTION("""COMPUTED_VALUE"""),359.37)</f>
        <v>359.37</v>
      </c>
    </row>
    <row r="183" hidden="1">
      <c r="A183" s="1"/>
      <c r="B183" s="1"/>
      <c r="C183" s="1"/>
      <c r="D183" s="1"/>
      <c r="E183" s="1"/>
      <c r="F183" s="1"/>
      <c r="G183" s="1"/>
      <c r="H183" s="1"/>
      <c r="I183" s="1"/>
      <c r="J183" s="1"/>
      <c r="K183" s="1"/>
      <c r="L183" s="1"/>
      <c r="M183" s="1"/>
      <c r="N183" s="1"/>
      <c r="O183" s="1"/>
      <c r="P183" s="1"/>
      <c r="Q183" s="1"/>
      <c r="R183" s="1"/>
      <c r="S183" s="1"/>
      <c r="T183" s="1"/>
      <c r="U183" s="5"/>
      <c r="V183" s="6"/>
      <c r="W183" s="6"/>
      <c r="X183" s="6"/>
      <c r="Y183" s="6"/>
      <c r="Z183" s="6"/>
      <c r="AA183" s="6"/>
      <c r="AB183" s="5"/>
      <c r="AC183" s="174">
        <f>IFERROR(__xludf.DUMMYFUNCTION("""COMPUTED_VALUE"""),44435.66666666667)</f>
        <v>44435.66667</v>
      </c>
      <c r="AD183" s="175">
        <f>IFERROR(__xludf.DUMMYFUNCTION("""COMPUTED_VALUE"""),372.63)</f>
        <v>372.63</v>
      </c>
    </row>
    <row r="184" hidden="1">
      <c r="A184" s="1"/>
      <c r="B184" s="1"/>
      <c r="C184" s="1"/>
      <c r="D184" s="1"/>
      <c r="E184" s="1"/>
      <c r="F184" s="1"/>
      <c r="G184" s="1"/>
      <c r="H184" s="1"/>
      <c r="I184" s="1"/>
      <c r="J184" s="1"/>
      <c r="K184" s="1"/>
      <c r="L184" s="1"/>
      <c r="M184" s="1"/>
      <c r="N184" s="1"/>
      <c r="O184" s="1"/>
      <c r="P184" s="1"/>
      <c r="Q184" s="1"/>
      <c r="R184" s="1"/>
      <c r="S184" s="1"/>
      <c r="T184" s="1"/>
      <c r="U184" s="5"/>
      <c r="V184" s="6"/>
      <c r="W184" s="6"/>
      <c r="X184" s="6"/>
      <c r="Y184" s="6"/>
      <c r="Z184" s="6"/>
      <c r="AA184" s="6"/>
      <c r="AB184" s="5"/>
      <c r="AC184" s="174">
        <f>IFERROR(__xludf.DUMMYFUNCTION("""COMPUTED_VALUE"""),44442.66666666667)</f>
        <v>44442.66667</v>
      </c>
      <c r="AD184" s="175">
        <f>IFERROR(__xludf.DUMMYFUNCTION("""COMPUTED_VALUE"""),376.26)</f>
        <v>376.26</v>
      </c>
    </row>
    <row r="185" hidden="1">
      <c r="A185" s="1"/>
      <c r="B185" s="1"/>
      <c r="C185" s="1"/>
      <c r="D185" s="1"/>
      <c r="E185" s="1"/>
      <c r="F185" s="1"/>
      <c r="G185" s="1"/>
      <c r="H185" s="1"/>
      <c r="I185" s="1"/>
      <c r="J185" s="1"/>
      <c r="K185" s="1"/>
      <c r="L185" s="1"/>
      <c r="M185" s="1"/>
      <c r="N185" s="1"/>
      <c r="O185" s="1"/>
      <c r="P185" s="1"/>
      <c r="Q185" s="1"/>
      <c r="R185" s="1"/>
      <c r="S185" s="1"/>
      <c r="T185" s="1"/>
      <c r="U185" s="5"/>
      <c r="V185" s="6"/>
      <c r="W185" s="6"/>
      <c r="X185" s="6"/>
      <c r="Y185" s="6"/>
      <c r="Z185" s="6"/>
      <c r="AA185" s="6"/>
      <c r="AB185" s="5"/>
      <c r="AC185" s="174">
        <f>IFERROR(__xludf.DUMMYFUNCTION("""COMPUTED_VALUE"""),44449.66666666667)</f>
        <v>44449.66667</v>
      </c>
      <c r="AD185" s="175">
        <f>IFERROR(__xludf.DUMMYFUNCTION("""COMPUTED_VALUE"""),378.69)</f>
        <v>378.69</v>
      </c>
    </row>
    <row r="186" hidden="1">
      <c r="A186" s="1"/>
      <c r="B186" s="1"/>
      <c r="C186" s="1"/>
      <c r="D186" s="1"/>
      <c r="E186" s="1"/>
      <c r="F186" s="1"/>
      <c r="G186" s="1"/>
      <c r="H186" s="1"/>
      <c r="I186" s="1"/>
      <c r="J186" s="1"/>
      <c r="K186" s="1"/>
      <c r="L186" s="1"/>
      <c r="M186" s="1"/>
      <c r="N186" s="1"/>
      <c r="O186" s="1"/>
      <c r="P186" s="1"/>
      <c r="Q186" s="1"/>
      <c r="R186" s="1"/>
      <c r="S186" s="1"/>
      <c r="T186" s="1"/>
      <c r="U186" s="5"/>
      <c r="V186" s="6"/>
      <c r="W186" s="6"/>
      <c r="X186" s="6"/>
      <c r="Y186" s="6"/>
      <c r="Z186" s="6"/>
      <c r="AA186" s="6"/>
      <c r="AB186" s="5"/>
      <c r="AC186" s="174">
        <f>IFERROR(__xludf.DUMMYFUNCTION("""COMPUTED_VALUE"""),44456.66666666667)</f>
        <v>44456.66667</v>
      </c>
      <c r="AD186" s="175">
        <f>IFERROR(__xludf.DUMMYFUNCTION("""COMPUTED_VALUE"""),364.72)</f>
        <v>364.72</v>
      </c>
    </row>
    <row r="187" hidden="1">
      <c r="A187" s="1"/>
      <c r="B187" s="1"/>
      <c r="C187" s="1"/>
      <c r="D187" s="1"/>
      <c r="E187" s="1"/>
      <c r="F187" s="1"/>
      <c r="G187" s="1"/>
      <c r="H187" s="1"/>
      <c r="I187" s="1"/>
      <c r="J187" s="1"/>
      <c r="K187" s="1"/>
      <c r="L187" s="1"/>
      <c r="M187" s="1"/>
      <c r="N187" s="1"/>
      <c r="O187" s="1"/>
      <c r="P187" s="1"/>
      <c r="Q187" s="1"/>
      <c r="R187" s="1"/>
      <c r="S187" s="1"/>
      <c r="T187" s="1"/>
      <c r="U187" s="5"/>
      <c r="V187" s="6"/>
      <c r="W187" s="6"/>
      <c r="X187" s="6"/>
      <c r="Y187" s="6"/>
      <c r="Z187" s="6"/>
      <c r="AA187" s="6"/>
      <c r="AB187" s="5"/>
      <c r="AC187" s="174">
        <f>IFERROR(__xludf.DUMMYFUNCTION("""COMPUTED_VALUE"""),44463.66666666667)</f>
        <v>44463.66667</v>
      </c>
      <c r="AD187" s="175">
        <f>IFERROR(__xludf.DUMMYFUNCTION("""COMPUTED_VALUE"""),352.96)</f>
        <v>352.96</v>
      </c>
    </row>
    <row r="188" hidden="1">
      <c r="A188" s="1"/>
      <c r="B188" s="1"/>
      <c r="C188" s="1"/>
      <c r="D188" s="1"/>
      <c r="E188" s="1"/>
      <c r="F188" s="1"/>
      <c r="G188" s="1"/>
      <c r="H188" s="1"/>
      <c r="I188" s="1"/>
      <c r="J188" s="1"/>
      <c r="K188" s="1"/>
      <c r="L188" s="1"/>
      <c r="M188" s="1"/>
      <c r="N188" s="1"/>
      <c r="O188" s="1"/>
      <c r="P188" s="1"/>
      <c r="Q188" s="1"/>
      <c r="R188" s="1"/>
      <c r="S188" s="1"/>
      <c r="T188" s="1"/>
      <c r="U188" s="5"/>
      <c r="V188" s="6"/>
      <c r="W188" s="6"/>
      <c r="X188" s="6"/>
      <c r="Y188" s="6"/>
      <c r="Z188" s="6"/>
      <c r="AA188" s="6"/>
      <c r="AB188" s="5"/>
      <c r="AC188" s="174">
        <f>IFERROR(__xludf.DUMMYFUNCTION("""COMPUTED_VALUE"""),44470.66666666667)</f>
        <v>44470.66667</v>
      </c>
      <c r="AD188" s="175">
        <f>IFERROR(__xludf.DUMMYFUNCTION("""COMPUTED_VALUE"""),343.01)</f>
        <v>343.01</v>
      </c>
    </row>
    <row r="189" hidden="1">
      <c r="A189" s="1"/>
      <c r="B189" s="1"/>
      <c r="C189" s="1"/>
      <c r="D189" s="1"/>
      <c r="E189" s="1"/>
      <c r="F189" s="1"/>
      <c r="G189" s="1"/>
      <c r="H189" s="1"/>
      <c r="I189" s="1"/>
      <c r="J189" s="1"/>
      <c r="K189" s="1"/>
      <c r="L189" s="1"/>
      <c r="M189" s="1"/>
      <c r="N189" s="1"/>
      <c r="O189" s="1"/>
      <c r="P189" s="1"/>
      <c r="Q189" s="1"/>
      <c r="R189" s="1"/>
      <c r="S189" s="1"/>
      <c r="T189" s="1"/>
      <c r="U189" s="5"/>
      <c r="V189" s="6"/>
      <c r="W189" s="6"/>
      <c r="X189" s="6"/>
      <c r="Y189" s="6"/>
      <c r="Z189" s="6"/>
      <c r="AA189" s="6"/>
      <c r="AB189" s="5"/>
      <c r="AC189" s="174">
        <f>IFERROR(__xludf.DUMMYFUNCTION("""COMPUTED_VALUE"""),44477.66666666667)</f>
        <v>44477.66667</v>
      </c>
      <c r="AD189" s="175">
        <f>IFERROR(__xludf.DUMMYFUNCTION("""COMPUTED_VALUE"""),330.05)</f>
        <v>330.05</v>
      </c>
    </row>
    <row r="190" hidden="1">
      <c r="A190" s="1"/>
      <c r="B190" s="1"/>
      <c r="C190" s="1"/>
      <c r="D190" s="1"/>
      <c r="E190" s="1"/>
      <c r="F190" s="1"/>
      <c r="G190" s="1"/>
      <c r="H190" s="1"/>
      <c r="I190" s="1"/>
      <c r="J190" s="1"/>
      <c r="K190" s="1"/>
      <c r="L190" s="1"/>
      <c r="M190" s="1"/>
      <c r="N190" s="1"/>
      <c r="O190" s="1"/>
      <c r="P190" s="1"/>
      <c r="Q190" s="1"/>
      <c r="R190" s="1"/>
      <c r="S190" s="1"/>
      <c r="T190" s="1"/>
      <c r="U190" s="5"/>
      <c r="V190" s="6"/>
      <c r="W190" s="6"/>
      <c r="X190" s="6"/>
      <c r="Y190" s="6"/>
      <c r="Z190" s="6"/>
      <c r="AA190" s="6"/>
      <c r="AB190" s="5"/>
      <c r="AC190" s="174">
        <f>IFERROR(__xludf.DUMMYFUNCTION("""COMPUTED_VALUE"""),44484.66666666667)</f>
        <v>44484.66667</v>
      </c>
      <c r="AD190" s="175">
        <f>IFERROR(__xludf.DUMMYFUNCTION("""COMPUTED_VALUE"""),324.76)</f>
        <v>324.76</v>
      </c>
    </row>
    <row r="191" hidden="1">
      <c r="A191" s="1"/>
      <c r="B191" s="1"/>
      <c r="C191" s="1"/>
      <c r="D191" s="1"/>
      <c r="E191" s="1"/>
      <c r="F191" s="1"/>
      <c r="G191" s="1"/>
      <c r="H191" s="1"/>
      <c r="I191" s="1"/>
      <c r="J191" s="1"/>
      <c r="K191" s="1"/>
      <c r="L191" s="1"/>
      <c r="M191" s="1"/>
      <c r="N191" s="1"/>
      <c r="O191" s="1"/>
      <c r="P191" s="1"/>
      <c r="Q191" s="1"/>
      <c r="R191" s="1"/>
      <c r="S191" s="1"/>
      <c r="T191" s="1"/>
      <c r="U191" s="5"/>
      <c r="V191" s="6"/>
      <c r="W191" s="6"/>
      <c r="X191" s="6"/>
      <c r="Y191" s="6"/>
      <c r="Z191" s="6"/>
      <c r="AA191" s="6"/>
      <c r="AB191" s="5"/>
      <c r="AC191" s="174">
        <f>IFERROR(__xludf.DUMMYFUNCTION("""COMPUTED_VALUE"""),44491.66666666667)</f>
        <v>44491.66667</v>
      </c>
      <c r="AD191" s="175">
        <f>IFERROR(__xludf.DUMMYFUNCTION("""COMPUTED_VALUE"""),324.61)</f>
        <v>324.61</v>
      </c>
    </row>
    <row r="192" hidden="1">
      <c r="A192" s="1"/>
      <c r="B192" s="1"/>
      <c r="C192" s="1"/>
      <c r="D192" s="1"/>
      <c r="E192" s="1"/>
      <c r="F192" s="1"/>
      <c r="G192" s="1"/>
      <c r="H192" s="1"/>
      <c r="I192" s="1"/>
      <c r="J192" s="1"/>
      <c r="K192" s="1"/>
      <c r="L192" s="1"/>
      <c r="M192" s="1"/>
      <c r="N192" s="1"/>
      <c r="O192" s="1"/>
      <c r="P192" s="1"/>
      <c r="Q192" s="1"/>
      <c r="R192" s="1"/>
      <c r="S192" s="1"/>
      <c r="T192" s="1"/>
      <c r="U192" s="5"/>
      <c r="V192" s="6"/>
      <c r="W192" s="6"/>
      <c r="X192" s="6"/>
      <c r="Y192" s="6"/>
      <c r="Z192" s="6"/>
      <c r="AA192" s="6"/>
      <c r="AB192" s="5"/>
      <c r="AC192" s="174">
        <f>IFERROR(__xludf.DUMMYFUNCTION("""COMPUTED_VALUE"""),44498.66666666667)</f>
        <v>44498.66667</v>
      </c>
      <c r="AD192" s="175">
        <f>IFERROR(__xludf.DUMMYFUNCTION("""COMPUTED_VALUE"""),323.57)</f>
        <v>323.57</v>
      </c>
    </row>
    <row r="193" hidden="1">
      <c r="A193" s="1"/>
      <c r="B193" s="1"/>
      <c r="C193" s="1"/>
      <c r="D193" s="1"/>
      <c r="E193" s="1"/>
      <c r="F193" s="1"/>
      <c r="G193" s="1"/>
      <c r="H193" s="1"/>
      <c r="I193" s="1"/>
      <c r="J193" s="1"/>
      <c r="K193" s="1"/>
      <c r="L193" s="1"/>
      <c r="M193" s="1"/>
      <c r="N193" s="1"/>
      <c r="O193" s="1"/>
      <c r="P193" s="1"/>
      <c r="Q193" s="1"/>
      <c r="R193" s="1"/>
      <c r="S193" s="1"/>
      <c r="T193" s="1"/>
      <c r="U193" s="5"/>
      <c r="V193" s="6"/>
      <c r="W193" s="6"/>
      <c r="X193" s="6"/>
      <c r="Y193" s="6"/>
      <c r="Z193" s="6"/>
      <c r="AA193" s="6"/>
      <c r="AB193" s="5"/>
      <c r="AC193" s="174">
        <f>IFERROR(__xludf.DUMMYFUNCTION("""COMPUTED_VALUE"""),44505.66666666667)</f>
        <v>44505.66667</v>
      </c>
      <c r="AD193" s="175">
        <f>IFERROR(__xludf.DUMMYFUNCTION("""COMPUTED_VALUE"""),341.13)</f>
        <v>341.13</v>
      </c>
    </row>
    <row r="194" hidden="1">
      <c r="A194" s="1"/>
      <c r="B194" s="1"/>
      <c r="C194" s="1"/>
      <c r="D194" s="1"/>
      <c r="E194" s="1"/>
      <c r="F194" s="1"/>
      <c r="G194" s="1"/>
      <c r="H194" s="1"/>
      <c r="I194" s="1"/>
      <c r="J194" s="1"/>
      <c r="K194" s="1"/>
      <c r="L194" s="1"/>
      <c r="M194" s="1"/>
      <c r="N194" s="1"/>
      <c r="O194" s="1"/>
      <c r="P194" s="1"/>
      <c r="Q194" s="1"/>
      <c r="R194" s="1"/>
      <c r="S194" s="1"/>
      <c r="T194" s="1"/>
      <c r="U194" s="5"/>
      <c r="V194" s="6"/>
      <c r="W194" s="6"/>
      <c r="X194" s="6"/>
      <c r="Y194" s="6"/>
      <c r="Z194" s="6"/>
      <c r="AA194" s="6"/>
      <c r="AB194" s="5"/>
      <c r="AC194" s="174">
        <f>IFERROR(__xludf.DUMMYFUNCTION("""COMPUTED_VALUE"""),44512.66666666667)</f>
        <v>44512.66667</v>
      </c>
      <c r="AD194" s="175">
        <f>IFERROR(__xludf.DUMMYFUNCTION("""COMPUTED_VALUE"""),340.89)</f>
        <v>340.89</v>
      </c>
    </row>
    <row r="195" hidden="1">
      <c r="A195" s="1"/>
      <c r="B195" s="1"/>
      <c r="C195" s="1"/>
      <c r="D195" s="1"/>
      <c r="E195" s="1"/>
      <c r="F195" s="1"/>
      <c r="G195" s="1"/>
      <c r="H195" s="1"/>
      <c r="I195" s="1"/>
      <c r="J195" s="1"/>
      <c r="K195" s="1"/>
      <c r="L195" s="1"/>
      <c r="M195" s="1"/>
      <c r="N195" s="1"/>
      <c r="O195" s="1"/>
      <c r="P195" s="1"/>
      <c r="Q195" s="1"/>
      <c r="R195" s="1"/>
      <c r="S195" s="1"/>
      <c r="T195" s="1"/>
      <c r="U195" s="5"/>
      <c r="V195" s="6"/>
      <c r="W195" s="6"/>
      <c r="X195" s="6"/>
      <c r="Y195" s="6"/>
      <c r="Z195" s="6"/>
      <c r="AA195" s="6"/>
      <c r="AB195" s="5"/>
      <c r="AC195" s="174">
        <f>IFERROR(__xludf.DUMMYFUNCTION("""COMPUTED_VALUE"""),44519.66666666667)</f>
        <v>44519.66667</v>
      </c>
      <c r="AD195" s="175">
        <f>IFERROR(__xludf.DUMMYFUNCTION("""COMPUTED_VALUE"""),345.3)</f>
        <v>345.3</v>
      </c>
    </row>
    <row r="196" hidden="1">
      <c r="A196" s="1"/>
      <c r="B196" s="1"/>
      <c r="C196" s="1"/>
      <c r="D196" s="1"/>
      <c r="E196" s="1"/>
      <c r="F196" s="1"/>
      <c r="G196" s="1"/>
      <c r="H196" s="1"/>
      <c r="I196" s="1"/>
      <c r="J196" s="1"/>
      <c r="K196" s="1"/>
      <c r="L196" s="1"/>
      <c r="M196" s="1"/>
      <c r="N196" s="1"/>
      <c r="O196" s="1"/>
      <c r="P196" s="1"/>
      <c r="Q196" s="1"/>
      <c r="R196" s="1"/>
      <c r="S196" s="1"/>
      <c r="T196" s="1"/>
      <c r="U196" s="5"/>
      <c r="V196" s="6"/>
      <c r="W196" s="6"/>
      <c r="X196" s="6"/>
      <c r="Y196" s="6"/>
      <c r="Z196" s="6"/>
      <c r="AA196" s="6"/>
      <c r="AB196" s="5"/>
      <c r="AC196" s="174">
        <f>IFERROR(__xludf.DUMMYFUNCTION("""COMPUTED_VALUE"""),44526.54166666667)</f>
        <v>44526.54167</v>
      </c>
      <c r="AD196" s="175">
        <f>IFERROR(__xludf.DUMMYFUNCTION("""COMPUTED_VALUE"""),333.12)</f>
        <v>333.12</v>
      </c>
    </row>
    <row r="197" hidden="1">
      <c r="A197" s="1"/>
      <c r="B197" s="1"/>
      <c r="C197" s="1"/>
      <c r="D197" s="1"/>
      <c r="E197" s="1"/>
      <c r="F197" s="1"/>
      <c r="G197" s="1"/>
      <c r="H197" s="1"/>
      <c r="I197" s="1"/>
      <c r="J197" s="1"/>
      <c r="K197" s="1"/>
      <c r="L197" s="1"/>
      <c r="M197" s="1"/>
      <c r="N197" s="1"/>
      <c r="O197" s="1"/>
      <c r="P197" s="1"/>
      <c r="Q197" s="1"/>
      <c r="R197" s="1"/>
      <c r="S197" s="1"/>
      <c r="T197" s="1"/>
      <c r="U197" s="5"/>
      <c r="V197" s="6"/>
      <c r="W197" s="6"/>
      <c r="X197" s="6"/>
      <c r="Y197" s="6"/>
      <c r="Z197" s="6"/>
      <c r="AA197" s="6"/>
      <c r="AB197" s="5"/>
      <c r="AC197" s="174">
        <f>IFERROR(__xludf.DUMMYFUNCTION("""COMPUTED_VALUE"""),44533.66666666667)</f>
        <v>44533.66667</v>
      </c>
      <c r="AD197" s="175">
        <f>IFERROR(__xludf.DUMMYFUNCTION("""COMPUTED_VALUE"""),306.84)</f>
        <v>306.84</v>
      </c>
    </row>
    <row r="198" hidden="1">
      <c r="A198" s="1"/>
      <c r="B198" s="1"/>
      <c r="C198" s="1"/>
      <c r="D198" s="1"/>
      <c r="E198" s="1"/>
      <c r="F198" s="1"/>
      <c r="G198" s="1"/>
      <c r="H198" s="1"/>
      <c r="I198" s="1"/>
      <c r="J198" s="1"/>
      <c r="K198" s="1"/>
      <c r="L198" s="1"/>
      <c r="M198" s="1"/>
      <c r="N198" s="1"/>
      <c r="O198" s="1"/>
      <c r="P198" s="1"/>
      <c r="Q198" s="1"/>
      <c r="R198" s="1"/>
      <c r="S198" s="1"/>
      <c r="T198" s="1"/>
      <c r="U198" s="5"/>
      <c r="V198" s="6"/>
      <c r="W198" s="6"/>
      <c r="X198" s="6"/>
      <c r="Y198" s="6"/>
      <c r="Z198" s="6"/>
      <c r="AA198" s="6"/>
      <c r="AB198" s="5"/>
      <c r="AC198" s="174">
        <f>IFERROR(__xludf.DUMMYFUNCTION("""COMPUTED_VALUE"""),44540.66666666667)</f>
        <v>44540.66667</v>
      </c>
      <c r="AD198" s="175">
        <f>IFERROR(__xludf.DUMMYFUNCTION("""COMPUTED_VALUE"""),329.75)</f>
        <v>329.75</v>
      </c>
    </row>
    <row r="199" hidden="1">
      <c r="A199" s="1"/>
      <c r="B199" s="1"/>
      <c r="C199" s="1"/>
      <c r="D199" s="1"/>
      <c r="E199" s="1"/>
      <c r="F199" s="1"/>
      <c r="G199" s="1"/>
      <c r="H199" s="1"/>
      <c r="I199" s="1"/>
      <c r="J199" s="1"/>
      <c r="K199" s="1"/>
      <c r="L199" s="1"/>
      <c r="M199" s="1"/>
      <c r="N199" s="1"/>
      <c r="O199" s="1"/>
      <c r="P199" s="1"/>
      <c r="Q199" s="1"/>
      <c r="R199" s="1"/>
      <c r="S199" s="1"/>
      <c r="T199" s="1"/>
      <c r="U199" s="5"/>
      <c r="V199" s="6"/>
      <c r="W199" s="6"/>
      <c r="X199" s="6"/>
      <c r="Y199" s="6"/>
      <c r="Z199" s="6"/>
      <c r="AA199" s="6"/>
      <c r="AB199" s="5"/>
      <c r="AC199" s="174">
        <f>IFERROR(__xludf.DUMMYFUNCTION("""COMPUTED_VALUE"""),44547.66666666667)</f>
        <v>44547.66667</v>
      </c>
      <c r="AD199" s="175">
        <f>IFERROR(__xludf.DUMMYFUNCTION("""COMPUTED_VALUE"""),333.79)</f>
        <v>333.79</v>
      </c>
    </row>
    <row r="200" hidden="1">
      <c r="A200" s="1"/>
      <c r="B200" s="1"/>
      <c r="C200" s="1"/>
      <c r="D200" s="1"/>
      <c r="E200" s="1"/>
      <c r="F200" s="1"/>
      <c r="G200" s="1"/>
      <c r="H200" s="1"/>
      <c r="I200" s="1"/>
      <c r="J200" s="1"/>
      <c r="K200" s="1"/>
      <c r="L200" s="1"/>
      <c r="M200" s="1"/>
      <c r="N200" s="1"/>
      <c r="O200" s="1"/>
      <c r="P200" s="1"/>
      <c r="Q200" s="1"/>
      <c r="R200" s="1"/>
      <c r="S200" s="1"/>
      <c r="T200" s="1"/>
      <c r="U200" s="5"/>
      <c r="V200" s="6"/>
      <c r="W200" s="6"/>
      <c r="X200" s="6"/>
      <c r="Y200" s="6"/>
      <c r="Z200" s="6"/>
      <c r="AA200" s="6"/>
      <c r="AB200" s="5"/>
      <c r="AC200" s="174">
        <f>IFERROR(__xludf.DUMMYFUNCTION("""COMPUTED_VALUE"""),44553.66666666667)</f>
        <v>44553.66667</v>
      </c>
      <c r="AD200" s="175">
        <f>IFERROR(__xludf.DUMMYFUNCTION("""COMPUTED_VALUE"""),335.24)</f>
        <v>335.24</v>
      </c>
    </row>
    <row r="201" hidden="1">
      <c r="A201" s="1"/>
      <c r="B201" s="1"/>
      <c r="C201" s="1"/>
      <c r="D201" s="1"/>
      <c r="E201" s="1"/>
      <c r="F201" s="1"/>
      <c r="G201" s="1"/>
      <c r="H201" s="1"/>
      <c r="I201" s="1"/>
      <c r="J201" s="1"/>
      <c r="K201" s="1"/>
      <c r="L201" s="1"/>
      <c r="M201" s="1"/>
      <c r="N201" s="1"/>
      <c r="O201" s="1"/>
      <c r="P201" s="1"/>
      <c r="Q201" s="1"/>
      <c r="R201" s="1"/>
      <c r="S201" s="1"/>
      <c r="T201" s="1"/>
      <c r="U201" s="5"/>
      <c r="V201" s="6"/>
      <c r="W201" s="6"/>
      <c r="X201" s="6"/>
      <c r="Y201" s="6"/>
      <c r="Z201" s="6"/>
      <c r="AA201" s="6"/>
      <c r="AB201" s="5"/>
      <c r="AC201" s="174">
        <f>IFERROR(__xludf.DUMMYFUNCTION("""COMPUTED_VALUE"""),44561.66666666667)</f>
        <v>44561.66667</v>
      </c>
      <c r="AD201" s="175">
        <f>IFERROR(__xludf.DUMMYFUNCTION("""COMPUTED_VALUE"""),336.35)</f>
        <v>336.35</v>
      </c>
    </row>
    <row r="202" hidden="1">
      <c r="A202" s="1"/>
      <c r="B202" s="1"/>
      <c r="C202" s="1"/>
      <c r="D202" s="1"/>
      <c r="E202" s="1"/>
      <c r="F202" s="1"/>
      <c r="G202" s="1"/>
      <c r="H202" s="1"/>
      <c r="I202" s="1"/>
      <c r="J202" s="1"/>
      <c r="K202" s="1"/>
      <c r="L202" s="1"/>
      <c r="M202" s="1"/>
      <c r="N202" s="1"/>
      <c r="O202" s="1"/>
      <c r="P202" s="1"/>
      <c r="Q202" s="1"/>
      <c r="R202" s="1"/>
      <c r="S202" s="1"/>
      <c r="T202" s="1"/>
      <c r="U202" s="5"/>
      <c r="V202" s="6"/>
      <c r="W202" s="6"/>
      <c r="X202" s="6"/>
      <c r="Y202" s="6"/>
      <c r="Z202" s="6"/>
      <c r="AA202" s="6"/>
      <c r="AB202" s="5"/>
      <c r="AC202" s="174">
        <f>IFERROR(__xludf.DUMMYFUNCTION("""COMPUTED_VALUE"""),44568.66666666667)</f>
        <v>44568.66667</v>
      </c>
      <c r="AD202" s="175">
        <f>IFERROR(__xludf.DUMMYFUNCTION("""COMPUTED_VALUE"""),331.79)</f>
        <v>331.79</v>
      </c>
    </row>
    <row r="203" hidden="1">
      <c r="A203" s="1"/>
      <c r="B203" s="1"/>
      <c r="C203" s="1"/>
      <c r="D203" s="1"/>
      <c r="E203" s="1"/>
      <c r="F203" s="1"/>
      <c r="G203" s="1"/>
      <c r="H203" s="1"/>
      <c r="I203" s="1"/>
      <c r="J203" s="1"/>
      <c r="K203" s="1"/>
      <c r="L203" s="1"/>
      <c r="M203" s="1"/>
      <c r="N203" s="1"/>
      <c r="O203" s="1"/>
      <c r="P203" s="1"/>
      <c r="Q203" s="1"/>
      <c r="R203" s="1"/>
      <c r="S203" s="1"/>
      <c r="T203" s="1"/>
      <c r="U203" s="5"/>
      <c r="V203" s="6"/>
      <c r="W203" s="6"/>
      <c r="X203" s="6"/>
      <c r="Y203" s="6"/>
      <c r="Z203" s="6"/>
      <c r="AA203" s="6"/>
      <c r="AB203" s="5"/>
      <c r="AC203" s="174">
        <f>IFERROR(__xludf.DUMMYFUNCTION("""COMPUTED_VALUE"""),44575.66666666667)</f>
        <v>44575.66667</v>
      </c>
      <c r="AD203" s="175">
        <f>IFERROR(__xludf.DUMMYFUNCTION("""COMPUTED_VALUE"""),331.9)</f>
        <v>331.9</v>
      </c>
    </row>
    <row r="204" hidden="1">
      <c r="A204" s="1"/>
      <c r="B204" s="1"/>
      <c r="C204" s="1"/>
      <c r="D204" s="1"/>
      <c r="E204" s="1"/>
      <c r="F204" s="1"/>
      <c r="G204" s="1"/>
      <c r="H204" s="1"/>
      <c r="I204" s="1"/>
      <c r="J204" s="1"/>
      <c r="K204" s="1"/>
      <c r="L204" s="1"/>
      <c r="M204" s="1"/>
      <c r="N204" s="1"/>
      <c r="O204" s="1"/>
      <c r="P204" s="1"/>
      <c r="Q204" s="1"/>
      <c r="R204" s="1"/>
      <c r="S204" s="1"/>
      <c r="T204" s="1"/>
      <c r="U204" s="5"/>
      <c r="V204" s="6"/>
      <c r="W204" s="6"/>
      <c r="X204" s="6"/>
      <c r="Y204" s="6"/>
      <c r="Z204" s="6"/>
      <c r="AA204" s="6"/>
      <c r="AB204" s="5"/>
      <c r="AC204" s="174">
        <f>IFERROR(__xludf.DUMMYFUNCTION("""COMPUTED_VALUE"""),44582.66666666667)</f>
        <v>44582.66667</v>
      </c>
      <c r="AD204" s="175">
        <f>IFERROR(__xludf.DUMMYFUNCTION("""COMPUTED_VALUE"""),303.17)</f>
        <v>303.17</v>
      </c>
    </row>
    <row r="205" hidden="1">
      <c r="A205" s="1"/>
      <c r="B205" s="1"/>
      <c r="C205" s="1"/>
      <c r="D205" s="1"/>
      <c r="E205" s="1"/>
      <c r="F205" s="1"/>
      <c r="G205" s="1"/>
      <c r="H205" s="1"/>
      <c r="I205" s="1"/>
      <c r="J205" s="1"/>
      <c r="K205" s="1"/>
      <c r="L205" s="1"/>
      <c r="M205" s="1"/>
      <c r="N205" s="1"/>
      <c r="O205" s="1"/>
      <c r="P205" s="1"/>
      <c r="Q205" s="1"/>
      <c r="R205" s="1"/>
      <c r="S205" s="1"/>
      <c r="T205" s="1"/>
      <c r="U205" s="5"/>
      <c r="V205" s="6"/>
      <c r="W205" s="6"/>
      <c r="X205" s="6"/>
      <c r="Y205" s="6"/>
      <c r="Z205" s="6"/>
      <c r="AA205" s="6"/>
      <c r="AB205" s="5"/>
      <c r="AC205" s="174">
        <f>IFERROR(__xludf.DUMMYFUNCTION("""COMPUTED_VALUE"""),44589.66666666667)</f>
        <v>44589.66667</v>
      </c>
      <c r="AD205" s="175">
        <f>IFERROR(__xludf.DUMMYFUNCTION("""COMPUTED_VALUE"""),301.71)</f>
        <v>301.71</v>
      </c>
    </row>
    <row r="206" hidden="1">
      <c r="A206" s="1"/>
      <c r="B206" s="1"/>
      <c r="C206" s="1"/>
      <c r="D206" s="1"/>
      <c r="E206" s="1"/>
      <c r="F206" s="1"/>
      <c r="G206" s="1"/>
      <c r="H206" s="1"/>
      <c r="I206" s="1"/>
      <c r="J206" s="1"/>
      <c r="K206" s="1"/>
      <c r="L206" s="1"/>
      <c r="M206" s="1"/>
      <c r="N206" s="1"/>
      <c r="O206" s="1"/>
      <c r="P206" s="1"/>
      <c r="Q206" s="1"/>
      <c r="R206" s="1"/>
      <c r="S206" s="1"/>
      <c r="T206" s="1"/>
      <c r="U206" s="5"/>
      <c r="V206" s="6"/>
      <c r="W206" s="6"/>
      <c r="X206" s="6"/>
      <c r="Y206" s="6"/>
      <c r="Z206" s="6"/>
      <c r="AA206" s="6"/>
      <c r="AB206" s="5"/>
      <c r="AC206" s="174">
        <f>IFERROR(__xludf.DUMMYFUNCTION("""COMPUTED_VALUE"""),44596.66666666667)</f>
        <v>44596.66667</v>
      </c>
      <c r="AD206" s="175">
        <f>IFERROR(__xludf.DUMMYFUNCTION("""COMPUTED_VALUE"""),237.09)</f>
        <v>237.09</v>
      </c>
    </row>
    <row r="207" hidden="1">
      <c r="A207" s="1"/>
      <c r="B207" s="1"/>
      <c r="C207" s="1"/>
      <c r="D207" s="1"/>
      <c r="E207" s="1"/>
      <c r="F207" s="1"/>
      <c r="G207" s="1"/>
      <c r="H207" s="1"/>
      <c r="I207" s="1"/>
      <c r="J207" s="1"/>
      <c r="K207" s="1"/>
      <c r="L207" s="1"/>
      <c r="M207" s="1"/>
      <c r="N207" s="1"/>
      <c r="O207" s="1"/>
      <c r="P207" s="1"/>
      <c r="Q207" s="1"/>
      <c r="R207" s="1"/>
      <c r="S207" s="1"/>
      <c r="T207" s="1"/>
      <c r="U207" s="5"/>
      <c r="V207" s="6"/>
      <c r="W207" s="6"/>
      <c r="X207" s="6"/>
      <c r="Y207" s="6"/>
      <c r="Z207" s="6"/>
      <c r="AA207" s="6"/>
      <c r="AB207" s="5"/>
      <c r="AC207" s="174">
        <f>IFERROR(__xludf.DUMMYFUNCTION("""COMPUTED_VALUE"""),44603.66666666667)</f>
        <v>44603.66667</v>
      </c>
      <c r="AD207" s="175">
        <f>IFERROR(__xludf.DUMMYFUNCTION("""COMPUTED_VALUE"""),219.55)</f>
        <v>219.55</v>
      </c>
    </row>
    <row r="208" hidden="1">
      <c r="A208" s="1"/>
      <c r="B208" s="1"/>
      <c r="C208" s="1"/>
      <c r="D208" s="1"/>
      <c r="E208" s="1"/>
      <c r="F208" s="1"/>
      <c r="G208" s="1"/>
      <c r="H208" s="1"/>
      <c r="I208" s="1"/>
      <c r="J208" s="1"/>
      <c r="K208" s="1"/>
      <c r="L208" s="1"/>
      <c r="M208" s="1"/>
      <c r="N208" s="1"/>
      <c r="O208" s="1"/>
      <c r="P208" s="1"/>
      <c r="Q208" s="1"/>
      <c r="R208" s="1"/>
      <c r="S208" s="1"/>
      <c r="T208" s="1"/>
      <c r="U208" s="5"/>
      <c r="V208" s="6"/>
      <c r="W208" s="6"/>
      <c r="X208" s="6"/>
      <c r="Y208" s="6"/>
      <c r="Z208" s="6"/>
      <c r="AA208" s="6"/>
      <c r="AB208" s="5"/>
      <c r="AC208" s="174">
        <f>IFERROR(__xludf.DUMMYFUNCTION("""COMPUTED_VALUE"""),44610.66666666667)</f>
        <v>44610.66667</v>
      </c>
      <c r="AD208" s="175">
        <f>IFERROR(__xludf.DUMMYFUNCTION("""COMPUTED_VALUE"""),206.16)</f>
        <v>206.16</v>
      </c>
    </row>
    <row r="209" hidden="1">
      <c r="A209" s="1"/>
      <c r="B209" s="1"/>
      <c r="C209" s="1"/>
      <c r="D209" s="1"/>
      <c r="E209" s="1"/>
      <c r="F209" s="1"/>
      <c r="G209" s="1"/>
      <c r="H209" s="1"/>
      <c r="I209" s="1"/>
      <c r="J209" s="1"/>
      <c r="K209" s="1"/>
      <c r="L209" s="1"/>
      <c r="M209" s="1"/>
      <c r="N209" s="1"/>
      <c r="O209" s="1"/>
      <c r="P209" s="1"/>
      <c r="Q209" s="1"/>
      <c r="R209" s="1"/>
      <c r="S209" s="1"/>
      <c r="T209" s="1"/>
      <c r="U209" s="5"/>
      <c r="V209" s="6"/>
      <c r="W209" s="6"/>
      <c r="X209" s="6"/>
      <c r="Y209" s="6"/>
      <c r="Z209" s="6"/>
      <c r="AA209" s="6"/>
      <c r="AB209" s="5"/>
      <c r="AC209" s="174">
        <f>IFERROR(__xludf.DUMMYFUNCTION("""COMPUTED_VALUE"""),44617.66666666667)</f>
        <v>44617.66667</v>
      </c>
      <c r="AD209" s="175">
        <f>IFERROR(__xludf.DUMMYFUNCTION("""COMPUTED_VALUE"""),210.48)</f>
        <v>210.48</v>
      </c>
    </row>
    <row r="210" hidden="1">
      <c r="A210" s="1"/>
      <c r="B210" s="1"/>
      <c r="C210" s="1"/>
      <c r="D210" s="1"/>
      <c r="E210" s="1"/>
      <c r="F210" s="1"/>
      <c r="G210" s="1"/>
      <c r="H210" s="1"/>
      <c r="I210" s="1"/>
      <c r="J210" s="1"/>
      <c r="K210" s="1"/>
      <c r="L210" s="1"/>
      <c r="M210" s="1"/>
      <c r="N210" s="1"/>
      <c r="O210" s="1"/>
      <c r="P210" s="1"/>
      <c r="Q210" s="1"/>
      <c r="R210" s="1"/>
      <c r="S210" s="1"/>
      <c r="T210" s="1"/>
      <c r="U210" s="5"/>
      <c r="V210" s="6"/>
      <c r="W210" s="6"/>
      <c r="X210" s="6"/>
      <c r="Y210" s="6"/>
      <c r="Z210" s="6"/>
      <c r="AA210" s="6"/>
      <c r="AB210" s="5"/>
      <c r="AC210" s="174">
        <f>IFERROR(__xludf.DUMMYFUNCTION("""COMPUTED_VALUE"""),44624.66666666667)</f>
        <v>44624.66667</v>
      </c>
      <c r="AD210" s="175">
        <f>IFERROR(__xludf.DUMMYFUNCTION("""COMPUTED_VALUE"""),200.06)</f>
        <v>200.06</v>
      </c>
    </row>
    <row r="211" hidden="1">
      <c r="A211" s="1"/>
      <c r="B211" s="1"/>
      <c r="C211" s="1"/>
      <c r="D211" s="1"/>
      <c r="E211" s="1"/>
      <c r="F211" s="1"/>
      <c r="G211" s="1"/>
      <c r="H211" s="1"/>
      <c r="I211" s="1"/>
      <c r="J211" s="1"/>
      <c r="K211" s="1"/>
      <c r="L211" s="1"/>
      <c r="M211" s="1"/>
      <c r="N211" s="1"/>
      <c r="O211" s="1"/>
      <c r="P211" s="1"/>
      <c r="Q211" s="1"/>
      <c r="R211" s="1"/>
      <c r="S211" s="1"/>
      <c r="T211" s="1"/>
      <c r="U211" s="5"/>
      <c r="V211" s="6"/>
      <c r="W211" s="6"/>
      <c r="X211" s="6"/>
      <c r="Y211" s="6"/>
      <c r="Z211" s="6"/>
      <c r="AA211" s="6"/>
      <c r="AB211" s="5"/>
      <c r="AC211" s="174">
        <f>IFERROR(__xludf.DUMMYFUNCTION("""COMPUTED_VALUE"""),44631.66666666667)</f>
        <v>44631.66667</v>
      </c>
      <c r="AD211" s="175">
        <f>IFERROR(__xludf.DUMMYFUNCTION("""COMPUTED_VALUE"""),187.61)</f>
        <v>187.61</v>
      </c>
    </row>
    <row r="212" hidden="1">
      <c r="A212" s="1"/>
      <c r="B212" s="1"/>
      <c r="C212" s="1"/>
      <c r="D212" s="1"/>
      <c r="E212" s="1"/>
      <c r="F212" s="1"/>
      <c r="G212" s="1"/>
      <c r="H212" s="1"/>
      <c r="I212" s="1"/>
      <c r="J212" s="1"/>
      <c r="K212" s="1"/>
      <c r="L212" s="1"/>
      <c r="M212" s="1"/>
      <c r="N212" s="1"/>
      <c r="O212" s="1"/>
      <c r="P212" s="1"/>
      <c r="Q212" s="1"/>
      <c r="R212" s="1"/>
      <c r="S212" s="1"/>
      <c r="T212" s="1"/>
      <c r="U212" s="5"/>
      <c r="V212" s="6"/>
      <c r="W212" s="6"/>
      <c r="X212" s="6"/>
      <c r="Y212" s="6"/>
      <c r="Z212" s="6"/>
      <c r="AA212" s="6"/>
      <c r="AB212" s="5"/>
      <c r="AC212" s="174">
        <f>IFERROR(__xludf.DUMMYFUNCTION("""COMPUTED_VALUE"""),44638.66666666667)</f>
        <v>44638.66667</v>
      </c>
      <c r="AD212" s="175">
        <f>IFERROR(__xludf.DUMMYFUNCTION("""COMPUTED_VALUE"""),216.49)</f>
        <v>216.49</v>
      </c>
    </row>
    <row r="213" hidden="1">
      <c r="A213" s="1"/>
      <c r="B213" s="1"/>
      <c r="C213" s="1"/>
      <c r="D213" s="1"/>
      <c r="E213" s="1"/>
      <c r="F213" s="1"/>
      <c r="G213" s="1"/>
      <c r="H213" s="1"/>
      <c r="I213" s="1"/>
      <c r="J213" s="1"/>
      <c r="K213" s="1"/>
      <c r="L213" s="1"/>
      <c r="M213" s="1"/>
      <c r="N213" s="1"/>
      <c r="O213" s="1"/>
      <c r="P213" s="1"/>
      <c r="Q213" s="1"/>
      <c r="R213" s="1"/>
      <c r="S213" s="1"/>
      <c r="T213" s="1"/>
      <c r="U213" s="5"/>
      <c r="V213" s="6"/>
      <c r="W213" s="6"/>
      <c r="X213" s="6"/>
      <c r="Y213" s="6"/>
      <c r="Z213" s="6"/>
      <c r="AA213" s="6"/>
      <c r="AB213" s="5"/>
      <c r="AC213" s="174">
        <f>IFERROR(__xludf.DUMMYFUNCTION("""COMPUTED_VALUE"""),44645.66666666667)</f>
        <v>44645.66667</v>
      </c>
      <c r="AD213" s="175">
        <f>IFERROR(__xludf.DUMMYFUNCTION("""COMPUTED_VALUE"""),221.82)</f>
        <v>221.82</v>
      </c>
    </row>
    <row r="214" hidden="1">
      <c r="A214" s="1"/>
      <c r="B214" s="1"/>
      <c r="C214" s="1"/>
      <c r="D214" s="1"/>
      <c r="E214" s="1"/>
      <c r="F214" s="1"/>
      <c r="G214" s="1"/>
      <c r="H214" s="1"/>
      <c r="I214" s="1"/>
      <c r="J214" s="1"/>
      <c r="K214" s="1"/>
      <c r="L214" s="1"/>
      <c r="M214" s="1"/>
      <c r="N214" s="1"/>
      <c r="O214" s="1"/>
      <c r="P214" s="1"/>
      <c r="Q214" s="1"/>
      <c r="R214" s="1"/>
      <c r="S214" s="1"/>
      <c r="T214" s="1"/>
      <c r="U214" s="5"/>
      <c r="V214" s="6"/>
      <c r="W214" s="6"/>
      <c r="X214" s="6"/>
      <c r="Y214" s="6"/>
      <c r="Z214" s="6"/>
      <c r="AA214" s="6"/>
      <c r="AB214" s="5"/>
      <c r="AC214" s="174">
        <f>IFERROR(__xludf.DUMMYFUNCTION("""COMPUTED_VALUE"""),44652.66666666667)</f>
        <v>44652.66667</v>
      </c>
      <c r="AD214" s="175">
        <f>IFERROR(__xludf.DUMMYFUNCTION("""COMPUTED_VALUE"""),224.85)</f>
        <v>224.85</v>
      </c>
    </row>
    <row r="215" hidden="1">
      <c r="A215" s="1"/>
      <c r="B215" s="1"/>
      <c r="C215" s="1"/>
      <c r="D215" s="1"/>
      <c r="E215" s="1"/>
      <c r="F215" s="1"/>
      <c r="G215" s="1"/>
      <c r="H215" s="1"/>
      <c r="I215" s="1"/>
      <c r="J215" s="1"/>
      <c r="K215" s="1"/>
      <c r="L215" s="1"/>
      <c r="M215" s="1"/>
      <c r="N215" s="1"/>
      <c r="O215" s="1"/>
      <c r="P215" s="1"/>
      <c r="Q215" s="1"/>
      <c r="R215" s="1"/>
      <c r="S215" s="1"/>
      <c r="T215" s="1"/>
      <c r="U215" s="5"/>
      <c r="V215" s="6"/>
      <c r="W215" s="6"/>
      <c r="X215" s="6"/>
      <c r="Y215" s="6"/>
      <c r="Z215" s="6"/>
      <c r="AA215" s="6"/>
      <c r="AB215" s="5"/>
      <c r="AC215" s="174">
        <f>IFERROR(__xludf.DUMMYFUNCTION("""COMPUTED_VALUE"""),44659.66666666667)</f>
        <v>44659.66667</v>
      </c>
      <c r="AD215" s="175">
        <f>IFERROR(__xludf.DUMMYFUNCTION("""COMPUTED_VALUE"""),222.33)</f>
        <v>222.33</v>
      </c>
    </row>
    <row r="216" hidden="1">
      <c r="A216" s="1"/>
      <c r="B216" s="1"/>
      <c r="C216" s="1"/>
      <c r="D216" s="1"/>
      <c r="E216" s="1"/>
      <c r="F216" s="1"/>
      <c r="G216" s="1"/>
      <c r="H216" s="1"/>
      <c r="I216" s="1"/>
      <c r="J216" s="1"/>
      <c r="K216" s="1"/>
      <c r="L216" s="1"/>
      <c r="M216" s="1"/>
      <c r="N216" s="1"/>
      <c r="O216" s="1"/>
      <c r="P216" s="1"/>
      <c r="Q216" s="1"/>
      <c r="R216" s="1"/>
      <c r="S216" s="1"/>
      <c r="T216" s="1"/>
      <c r="U216" s="5"/>
      <c r="V216" s="6"/>
      <c r="W216" s="6"/>
      <c r="X216" s="6"/>
      <c r="Y216" s="6"/>
      <c r="Z216" s="6"/>
      <c r="AA216" s="6"/>
      <c r="AB216" s="5"/>
      <c r="AC216" s="174">
        <f>IFERROR(__xludf.DUMMYFUNCTION("""COMPUTED_VALUE"""),44665.66666666667)</f>
        <v>44665.66667</v>
      </c>
      <c r="AD216" s="175">
        <f>IFERROR(__xludf.DUMMYFUNCTION("""COMPUTED_VALUE"""),210.18)</f>
        <v>210.18</v>
      </c>
    </row>
    <row r="217" hidden="1">
      <c r="A217" s="1"/>
      <c r="B217" s="1"/>
      <c r="C217" s="1"/>
      <c r="D217" s="1"/>
      <c r="E217" s="1"/>
      <c r="F217" s="1"/>
      <c r="G217" s="1"/>
      <c r="H217" s="1"/>
      <c r="I217" s="1"/>
      <c r="J217" s="1"/>
      <c r="K217" s="1"/>
      <c r="L217" s="1"/>
      <c r="M217" s="1"/>
      <c r="N217" s="1"/>
      <c r="O217" s="1"/>
      <c r="P217" s="1"/>
      <c r="Q217" s="1"/>
      <c r="R217" s="1"/>
      <c r="S217" s="1"/>
      <c r="T217" s="1"/>
      <c r="U217" s="5"/>
      <c r="V217" s="6"/>
      <c r="W217" s="6"/>
      <c r="X217" s="6"/>
      <c r="Y217" s="6"/>
      <c r="Z217" s="6"/>
      <c r="AA217" s="6"/>
      <c r="AB217" s="5"/>
      <c r="AC217" s="174">
        <f>IFERROR(__xludf.DUMMYFUNCTION("""COMPUTED_VALUE"""),44673.66666666667)</f>
        <v>44673.66667</v>
      </c>
      <c r="AD217" s="175">
        <f>IFERROR(__xludf.DUMMYFUNCTION("""COMPUTED_VALUE"""),184.11)</f>
        <v>184.11</v>
      </c>
    </row>
    <row r="218" hidden="1">
      <c r="A218" s="1"/>
      <c r="B218" s="1"/>
      <c r="C218" s="1"/>
      <c r="D218" s="1"/>
      <c r="E218" s="1"/>
      <c r="F218" s="1"/>
      <c r="G218" s="1"/>
      <c r="H218" s="1"/>
      <c r="I218" s="1"/>
      <c r="J218" s="1"/>
      <c r="K218" s="1"/>
      <c r="L218" s="1"/>
      <c r="M218" s="1"/>
      <c r="N218" s="1"/>
      <c r="O218" s="1"/>
      <c r="P218" s="1"/>
      <c r="Q218" s="1"/>
      <c r="R218" s="1"/>
      <c r="S218" s="1"/>
      <c r="T218" s="1"/>
      <c r="U218" s="5"/>
      <c r="V218" s="6"/>
      <c r="W218" s="6"/>
      <c r="X218" s="6"/>
      <c r="Y218" s="6"/>
      <c r="Z218" s="6"/>
      <c r="AA218" s="6"/>
      <c r="AB218" s="5"/>
      <c r="AC218" s="174">
        <f>IFERROR(__xludf.DUMMYFUNCTION("""COMPUTED_VALUE"""),44680.66666666667)</f>
        <v>44680.66667</v>
      </c>
      <c r="AD218" s="175">
        <f>IFERROR(__xludf.DUMMYFUNCTION("""COMPUTED_VALUE"""),200.47)</f>
        <v>200.47</v>
      </c>
    </row>
    <row r="219" hidden="1">
      <c r="A219" s="1"/>
      <c r="B219" s="1"/>
      <c r="C219" s="1"/>
      <c r="D219" s="1"/>
      <c r="E219" s="1"/>
      <c r="F219" s="1"/>
      <c r="G219" s="1"/>
      <c r="H219" s="1"/>
      <c r="I219" s="1"/>
      <c r="J219" s="1"/>
      <c r="K219" s="1"/>
      <c r="L219" s="1"/>
      <c r="M219" s="1"/>
      <c r="N219" s="1"/>
      <c r="O219" s="1"/>
      <c r="P219" s="1"/>
      <c r="Q219" s="1"/>
      <c r="R219" s="1"/>
      <c r="S219" s="1"/>
      <c r="T219" s="1"/>
      <c r="U219" s="5"/>
      <c r="V219" s="6"/>
      <c r="W219" s="6"/>
      <c r="X219" s="6"/>
      <c r="Y219" s="6"/>
      <c r="Z219" s="6"/>
      <c r="AA219" s="6"/>
      <c r="AB219" s="5"/>
      <c r="AC219" s="174">
        <f>IFERROR(__xludf.DUMMYFUNCTION("""COMPUTED_VALUE"""),44687.66666666667)</f>
        <v>44687.66667</v>
      </c>
      <c r="AD219" s="175">
        <f>IFERROR(__xludf.DUMMYFUNCTION("""COMPUTED_VALUE"""),203.77)</f>
        <v>203.77</v>
      </c>
    </row>
    <row r="220" hidden="1">
      <c r="A220" s="1"/>
      <c r="B220" s="1"/>
      <c r="C220" s="1"/>
      <c r="D220" s="1"/>
      <c r="E220" s="1"/>
      <c r="F220" s="1"/>
      <c r="G220" s="1"/>
      <c r="H220" s="1"/>
      <c r="I220" s="1"/>
      <c r="J220" s="1"/>
      <c r="K220" s="1"/>
      <c r="L220" s="1"/>
      <c r="M220" s="1"/>
      <c r="N220" s="1"/>
      <c r="O220" s="1"/>
      <c r="P220" s="1"/>
      <c r="Q220" s="1"/>
      <c r="R220" s="1"/>
      <c r="S220" s="1"/>
      <c r="T220" s="1"/>
      <c r="U220" s="5"/>
      <c r="V220" s="6"/>
      <c r="W220" s="6"/>
      <c r="X220" s="6"/>
      <c r="Y220" s="6"/>
      <c r="Z220" s="6"/>
      <c r="AA220" s="6"/>
      <c r="AB220" s="5"/>
      <c r="AC220" s="174">
        <f>IFERROR(__xludf.DUMMYFUNCTION("""COMPUTED_VALUE"""),44694.66666666667)</f>
        <v>44694.66667</v>
      </c>
      <c r="AD220" s="175">
        <f>IFERROR(__xludf.DUMMYFUNCTION("""COMPUTED_VALUE"""),198.62)</f>
        <v>198.62</v>
      </c>
    </row>
    <row r="221" hidden="1">
      <c r="A221" s="1"/>
      <c r="B221" s="1"/>
      <c r="C221" s="1"/>
      <c r="D221" s="1"/>
      <c r="E221" s="1"/>
      <c r="F221" s="1"/>
      <c r="G221" s="1"/>
      <c r="H221" s="1"/>
      <c r="I221" s="1"/>
      <c r="J221" s="1"/>
      <c r="K221" s="1"/>
      <c r="L221" s="1"/>
      <c r="M221" s="1"/>
      <c r="N221" s="1"/>
      <c r="O221" s="1"/>
      <c r="P221" s="1"/>
      <c r="Q221" s="1"/>
      <c r="R221" s="1"/>
      <c r="S221" s="1"/>
      <c r="T221" s="1"/>
      <c r="U221" s="5"/>
      <c r="V221" s="6"/>
      <c r="W221" s="6"/>
      <c r="X221" s="6"/>
      <c r="Y221" s="6"/>
      <c r="Z221" s="6"/>
      <c r="AA221" s="6"/>
      <c r="AB221" s="5"/>
      <c r="AC221" s="174">
        <f>IFERROR(__xludf.DUMMYFUNCTION("""COMPUTED_VALUE"""),44701.66666666667)</f>
        <v>44701.66667</v>
      </c>
      <c r="AD221" s="175">
        <f>IFERROR(__xludf.DUMMYFUNCTION("""COMPUTED_VALUE"""),193.54)</f>
        <v>193.54</v>
      </c>
    </row>
    <row r="222" hidden="1">
      <c r="A222" s="1"/>
      <c r="B222" s="1"/>
      <c r="C222" s="1"/>
      <c r="D222" s="1"/>
      <c r="E222" s="1"/>
      <c r="F222" s="1"/>
      <c r="G222" s="1"/>
      <c r="H222" s="1"/>
      <c r="I222" s="1"/>
      <c r="J222" s="1"/>
      <c r="K222" s="1"/>
      <c r="L222" s="1"/>
      <c r="M222" s="1"/>
      <c r="N222" s="1"/>
      <c r="O222" s="1"/>
      <c r="P222" s="1"/>
      <c r="Q222" s="1"/>
      <c r="R222" s="1"/>
      <c r="S222" s="1"/>
      <c r="T222" s="1"/>
      <c r="U222" s="5"/>
      <c r="V222" s="6"/>
      <c r="W222" s="6"/>
      <c r="X222" s="6"/>
      <c r="Y222" s="6"/>
      <c r="Z222" s="6"/>
      <c r="AA222" s="6"/>
      <c r="AB222" s="5"/>
      <c r="AC222" s="174">
        <f>IFERROR(__xludf.DUMMYFUNCTION("""COMPUTED_VALUE"""),44708.66666666667)</f>
        <v>44708.66667</v>
      </c>
      <c r="AD222" s="175">
        <f>IFERROR(__xludf.DUMMYFUNCTION("""COMPUTED_VALUE"""),195.13)</f>
        <v>195.13</v>
      </c>
    </row>
    <row r="223" hidden="1">
      <c r="A223" s="1"/>
      <c r="B223" s="1"/>
      <c r="C223" s="1"/>
      <c r="D223" s="1"/>
      <c r="E223" s="1"/>
      <c r="F223" s="1"/>
      <c r="G223" s="1"/>
      <c r="H223" s="1"/>
      <c r="I223" s="1"/>
      <c r="J223" s="1"/>
      <c r="K223" s="1"/>
      <c r="L223" s="1"/>
      <c r="M223" s="1"/>
      <c r="N223" s="1"/>
      <c r="O223" s="1"/>
      <c r="P223" s="1"/>
      <c r="Q223" s="1"/>
      <c r="R223" s="1"/>
      <c r="S223" s="1"/>
      <c r="T223" s="1"/>
      <c r="U223" s="5"/>
      <c r="V223" s="6"/>
      <c r="W223" s="6"/>
      <c r="X223" s="6"/>
      <c r="Y223" s="6"/>
      <c r="Z223" s="6"/>
      <c r="AA223" s="6"/>
      <c r="AB223" s="5"/>
      <c r="AC223" s="174">
        <f>IFERROR(__xludf.DUMMYFUNCTION("""COMPUTED_VALUE"""),44715.66666666667)</f>
        <v>44715.66667</v>
      </c>
      <c r="AD223" s="175">
        <f>IFERROR(__xludf.DUMMYFUNCTION("""COMPUTED_VALUE"""),190.78)</f>
        <v>190.78</v>
      </c>
    </row>
    <row r="224" hidden="1">
      <c r="A224" s="1"/>
      <c r="B224" s="1"/>
      <c r="C224" s="1"/>
      <c r="D224" s="1"/>
      <c r="E224" s="1"/>
      <c r="F224" s="1"/>
      <c r="G224" s="1"/>
      <c r="H224" s="1"/>
      <c r="I224" s="1"/>
      <c r="J224" s="1"/>
      <c r="K224" s="1"/>
      <c r="L224" s="1"/>
      <c r="M224" s="1"/>
      <c r="N224" s="1"/>
      <c r="O224" s="1"/>
      <c r="P224" s="1"/>
      <c r="Q224" s="1"/>
      <c r="R224" s="1"/>
      <c r="S224" s="1"/>
      <c r="T224" s="1"/>
      <c r="U224" s="5"/>
      <c r="V224" s="6"/>
      <c r="W224" s="6"/>
      <c r="X224" s="6"/>
      <c r="Y224" s="6"/>
      <c r="Z224" s="6"/>
      <c r="AA224" s="6"/>
      <c r="AB224" s="5"/>
      <c r="AC224" s="174">
        <f>IFERROR(__xludf.DUMMYFUNCTION("""COMPUTED_VALUE"""),44722.66666666667)</f>
        <v>44722.66667</v>
      </c>
      <c r="AD224" s="175">
        <f>IFERROR(__xludf.DUMMYFUNCTION("""COMPUTED_VALUE"""),175.57)</f>
        <v>175.57</v>
      </c>
    </row>
    <row r="225" hidden="1">
      <c r="A225" s="1"/>
      <c r="B225" s="1"/>
      <c r="C225" s="1"/>
      <c r="D225" s="1"/>
      <c r="E225" s="1"/>
      <c r="F225" s="1"/>
      <c r="G225" s="1"/>
      <c r="H225" s="1"/>
      <c r="I225" s="1"/>
      <c r="J225" s="1"/>
      <c r="K225" s="1"/>
      <c r="L225" s="1"/>
      <c r="M225" s="1"/>
      <c r="N225" s="1"/>
      <c r="O225" s="1"/>
      <c r="P225" s="1"/>
      <c r="Q225" s="1"/>
      <c r="R225" s="1"/>
      <c r="S225" s="1"/>
      <c r="T225" s="1"/>
      <c r="U225" s="5"/>
      <c r="V225" s="6"/>
      <c r="W225" s="6"/>
      <c r="X225" s="6"/>
      <c r="Y225" s="6"/>
      <c r="Z225" s="6"/>
      <c r="AA225" s="6"/>
      <c r="AB225" s="5"/>
      <c r="AC225" s="174">
        <f>IFERROR(__xludf.DUMMYFUNCTION("""COMPUTED_VALUE"""),44729.66666666667)</f>
        <v>44729.66667</v>
      </c>
      <c r="AD225" s="175">
        <f>IFERROR(__xludf.DUMMYFUNCTION("""COMPUTED_VALUE"""),163.74)</f>
        <v>163.74</v>
      </c>
    </row>
    <row r="226" hidden="1">
      <c r="A226" s="1"/>
      <c r="B226" s="1"/>
      <c r="C226" s="1"/>
      <c r="D226" s="1"/>
      <c r="E226" s="1"/>
      <c r="F226" s="1"/>
      <c r="G226" s="1"/>
      <c r="H226" s="1"/>
      <c r="I226" s="1"/>
      <c r="J226" s="1"/>
      <c r="K226" s="1"/>
      <c r="L226" s="1"/>
      <c r="M226" s="1"/>
      <c r="N226" s="1"/>
      <c r="O226" s="1"/>
      <c r="P226" s="1"/>
      <c r="Q226" s="1"/>
      <c r="R226" s="1"/>
      <c r="S226" s="1"/>
      <c r="T226" s="1"/>
      <c r="U226" s="5"/>
      <c r="V226" s="6"/>
      <c r="W226" s="6"/>
      <c r="X226" s="6"/>
      <c r="Y226" s="6"/>
      <c r="Z226" s="6"/>
      <c r="AA226" s="6"/>
      <c r="AB226" s="5"/>
      <c r="AC226" s="174">
        <f>IFERROR(__xludf.DUMMYFUNCTION("""COMPUTED_VALUE"""),44736.66666666667)</f>
        <v>44736.66667</v>
      </c>
      <c r="AD226" s="175">
        <f>IFERROR(__xludf.DUMMYFUNCTION("""COMPUTED_VALUE"""),170.16)</f>
        <v>170.16</v>
      </c>
    </row>
    <row r="227" hidden="1">
      <c r="A227" s="1"/>
      <c r="B227" s="1"/>
      <c r="C227" s="1"/>
      <c r="D227" s="1"/>
      <c r="E227" s="1"/>
      <c r="F227" s="1"/>
      <c r="G227" s="1"/>
      <c r="H227" s="1"/>
      <c r="I227" s="1"/>
      <c r="J227" s="1"/>
      <c r="K227" s="1"/>
      <c r="L227" s="1"/>
      <c r="M227" s="1"/>
      <c r="N227" s="1"/>
      <c r="O227" s="1"/>
      <c r="P227" s="1"/>
      <c r="Q227" s="1"/>
      <c r="R227" s="1"/>
      <c r="S227" s="1"/>
      <c r="T227" s="1"/>
      <c r="U227" s="5"/>
      <c r="V227" s="6"/>
      <c r="W227" s="6"/>
      <c r="X227" s="6"/>
      <c r="Y227" s="6"/>
      <c r="Z227" s="6"/>
      <c r="AA227" s="6"/>
      <c r="AB227" s="5"/>
      <c r="AC227" s="174">
        <f>IFERROR(__xludf.DUMMYFUNCTION("""COMPUTED_VALUE"""),44743.66666666667)</f>
        <v>44743.66667</v>
      </c>
      <c r="AD227" s="175">
        <f>IFERROR(__xludf.DUMMYFUNCTION("""COMPUTED_VALUE"""),160.03)</f>
        <v>160.03</v>
      </c>
    </row>
    <row r="228" hidden="1">
      <c r="A228" s="1"/>
      <c r="B228" s="1"/>
      <c r="C228" s="1"/>
      <c r="D228" s="1"/>
      <c r="E228" s="1"/>
      <c r="F228" s="1"/>
      <c r="G228" s="1"/>
      <c r="H228" s="1"/>
      <c r="I228" s="1"/>
      <c r="J228" s="1"/>
      <c r="K228" s="1"/>
      <c r="L228" s="1"/>
      <c r="M228" s="1"/>
      <c r="N228" s="1"/>
      <c r="O228" s="1"/>
      <c r="P228" s="1"/>
      <c r="Q228" s="1"/>
      <c r="R228" s="1"/>
      <c r="S228" s="1"/>
      <c r="T228" s="1"/>
      <c r="U228" s="5"/>
      <c r="V228" s="6"/>
      <c r="W228" s="6"/>
      <c r="X228" s="6"/>
      <c r="Y228" s="6"/>
      <c r="Z228" s="6"/>
      <c r="AA228" s="6"/>
      <c r="AB228" s="5"/>
      <c r="AC228" s="174">
        <f>IFERROR(__xludf.DUMMYFUNCTION("""COMPUTED_VALUE"""),44750.66666666667)</f>
        <v>44750.66667</v>
      </c>
      <c r="AD228" s="175">
        <f>IFERROR(__xludf.DUMMYFUNCTION("""COMPUTED_VALUE"""),170.88)</f>
        <v>170.88</v>
      </c>
    </row>
    <row r="229" hidden="1">
      <c r="A229" s="1"/>
      <c r="B229" s="1"/>
      <c r="C229" s="1"/>
      <c r="D229" s="1"/>
      <c r="E229" s="1"/>
      <c r="F229" s="1"/>
      <c r="G229" s="1"/>
      <c r="H229" s="1"/>
      <c r="I229" s="1"/>
      <c r="J229" s="1"/>
      <c r="K229" s="1"/>
      <c r="L229" s="1"/>
      <c r="M229" s="1"/>
      <c r="N229" s="1"/>
      <c r="O229" s="1"/>
      <c r="P229" s="1"/>
      <c r="Q229" s="1"/>
      <c r="R229" s="1"/>
      <c r="S229" s="1"/>
      <c r="T229" s="1"/>
      <c r="U229" s="5"/>
      <c r="V229" s="6"/>
      <c r="W229" s="6"/>
      <c r="X229" s="6"/>
      <c r="Y229" s="6"/>
      <c r="Z229" s="6"/>
      <c r="AA229" s="6"/>
      <c r="AB229" s="5"/>
      <c r="AC229" s="174">
        <f>IFERROR(__xludf.DUMMYFUNCTION("""COMPUTED_VALUE"""),44757.66666666667)</f>
        <v>44757.66667</v>
      </c>
      <c r="AD229" s="175">
        <f>IFERROR(__xludf.DUMMYFUNCTION("""COMPUTED_VALUE"""),164.7)</f>
        <v>164.7</v>
      </c>
    </row>
    <row r="230" hidden="1">
      <c r="A230" s="1"/>
      <c r="B230" s="1"/>
      <c r="C230" s="1"/>
      <c r="D230" s="1"/>
      <c r="E230" s="1"/>
      <c r="F230" s="1"/>
      <c r="G230" s="1"/>
      <c r="H230" s="1"/>
      <c r="I230" s="1"/>
      <c r="J230" s="1"/>
      <c r="K230" s="1"/>
      <c r="L230" s="1"/>
      <c r="M230" s="1"/>
      <c r="N230" s="1"/>
      <c r="O230" s="1"/>
      <c r="P230" s="1"/>
      <c r="Q230" s="1"/>
      <c r="R230" s="1"/>
      <c r="S230" s="1"/>
      <c r="T230" s="1"/>
      <c r="U230" s="5"/>
      <c r="V230" s="6"/>
      <c r="W230" s="6"/>
      <c r="X230" s="6"/>
      <c r="Y230" s="6"/>
      <c r="Z230" s="6"/>
      <c r="AA230" s="6"/>
      <c r="AB230" s="5"/>
      <c r="AC230" s="174">
        <f>IFERROR(__xludf.DUMMYFUNCTION("""COMPUTED_VALUE"""),44764.66666666667)</f>
        <v>44764.66667</v>
      </c>
      <c r="AD230" s="175">
        <f>IFERROR(__xludf.DUMMYFUNCTION("""COMPUTED_VALUE"""),169.27)</f>
        <v>169.27</v>
      </c>
    </row>
    <row r="231" hidden="1">
      <c r="A231" s="1"/>
      <c r="B231" s="1"/>
      <c r="C231" s="1"/>
      <c r="D231" s="1"/>
      <c r="E231" s="1"/>
      <c r="F231" s="1"/>
      <c r="G231" s="1"/>
      <c r="H231" s="1"/>
      <c r="I231" s="1"/>
      <c r="J231" s="1"/>
      <c r="K231" s="1"/>
      <c r="L231" s="1"/>
      <c r="M231" s="1"/>
      <c r="N231" s="1"/>
      <c r="O231" s="1"/>
      <c r="P231" s="1"/>
      <c r="Q231" s="1"/>
      <c r="R231" s="1"/>
      <c r="S231" s="1"/>
      <c r="T231" s="1"/>
      <c r="U231" s="5"/>
      <c r="V231" s="6"/>
      <c r="W231" s="6"/>
      <c r="X231" s="6"/>
      <c r="Y231" s="6"/>
      <c r="Z231" s="6"/>
      <c r="AA231" s="6"/>
      <c r="AB231" s="5"/>
      <c r="AC231" s="174">
        <f>IFERROR(__xludf.DUMMYFUNCTION("""COMPUTED_VALUE"""),44771.66666666667)</f>
        <v>44771.66667</v>
      </c>
      <c r="AD231" s="175">
        <f>IFERROR(__xludf.DUMMYFUNCTION("""COMPUTED_VALUE"""),159.1)</f>
        <v>159.1</v>
      </c>
    </row>
    <row r="232" hidden="1">
      <c r="A232" s="1"/>
      <c r="B232" s="1"/>
      <c r="C232" s="1"/>
      <c r="D232" s="1"/>
      <c r="E232" s="1"/>
      <c r="F232" s="1"/>
      <c r="G232" s="1"/>
      <c r="H232" s="1"/>
      <c r="I232" s="1"/>
      <c r="J232" s="1"/>
      <c r="K232" s="1"/>
      <c r="L232" s="1"/>
      <c r="M232" s="1"/>
      <c r="N232" s="1"/>
      <c r="O232" s="1"/>
      <c r="P232" s="1"/>
      <c r="Q232" s="1"/>
      <c r="R232" s="1"/>
      <c r="S232" s="1"/>
      <c r="T232" s="1"/>
      <c r="U232" s="5"/>
      <c r="V232" s="6"/>
      <c r="W232" s="6"/>
      <c r="X232" s="6"/>
      <c r="Y232" s="6"/>
      <c r="Z232" s="6"/>
      <c r="AA232" s="6"/>
      <c r="AB232" s="5"/>
      <c r="AC232" s="174">
        <f>IFERROR(__xludf.DUMMYFUNCTION("""COMPUTED_VALUE"""),44778.66666666667)</f>
        <v>44778.66667</v>
      </c>
      <c r="AD232" s="175">
        <f>IFERROR(__xludf.DUMMYFUNCTION("""COMPUTED_VALUE"""),167.11)</f>
        <v>167.11</v>
      </c>
    </row>
    <row r="233" hidden="1">
      <c r="A233" s="1"/>
      <c r="B233" s="1"/>
      <c r="C233" s="1"/>
      <c r="D233" s="1"/>
      <c r="E233" s="1"/>
      <c r="F233" s="1"/>
      <c r="G233" s="1"/>
      <c r="H233" s="1"/>
      <c r="I233" s="1"/>
      <c r="J233" s="1"/>
      <c r="K233" s="1"/>
      <c r="L233" s="1"/>
      <c r="M233" s="1"/>
      <c r="N233" s="1"/>
      <c r="O233" s="1"/>
      <c r="P233" s="1"/>
      <c r="Q233" s="1"/>
      <c r="R233" s="1"/>
      <c r="S233" s="1"/>
      <c r="T233" s="1"/>
      <c r="U233" s="5"/>
      <c r="V233" s="6"/>
      <c r="W233" s="6"/>
      <c r="X233" s="6"/>
      <c r="Y233" s="6"/>
      <c r="Z233" s="6"/>
      <c r="AA233" s="6"/>
      <c r="AB233" s="5"/>
      <c r="AC233" s="174">
        <f>IFERROR(__xludf.DUMMYFUNCTION("""COMPUTED_VALUE"""),44785.66666666667)</f>
        <v>44785.66667</v>
      </c>
      <c r="AD233" s="175">
        <f>IFERROR(__xludf.DUMMYFUNCTION("""COMPUTED_VALUE"""),180.5)</f>
        <v>180.5</v>
      </c>
    </row>
    <row r="234" hidden="1">
      <c r="A234" s="1"/>
      <c r="B234" s="1"/>
      <c r="C234" s="1"/>
      <c r="D234" s="1"/>
      <c r="E234" s="1"/>
      <c r="F234" s="1"/>
      <c r="G234" s="1"/>
      <c r="H234" s="1"/>
      <c r="I234" s="1"/>
      <c r="J234" s="1"/>
      <c r="K234" s="1"/>
      <c r="L234" s="1"/>
      <c r="M234" s="1"/>
      <c r="N234" s="1"/>
      <c r="O234" s="1"/>
      <c r="P234" s="1"/>
      <c r="Q234" s="1"/>
      <c r="R234" s="1"/>
      <c r="S234" s="1"/>
      <c r="T234" s="1"/>
      <c r="U234" s="5"/>
      <c r="V234" s="6"/>
      <c r="W234" s="6"/>
      <c r="X234" s="6"/>
      <c r="Y234" s="6"/>
      <c r="Z234" s="6"/>
      <c r="AA234" s="6"/>
      <c r="AB234" s="5"/>
      <c r="AC234" s="174">
        <f>IFERROR(__xludf.DUMMYFUNCTION("""COMPUTED_VALUE"""),44792.66666666667)</f>
        <v>44792.66667</v>
      </c>
      <c r="AD234" s="175">
        <f>IFERROR(__xludf.DUMMYFUNCTION("""COMPUTED_VALUE"""),167.96)</f>
        <v>167.96</v>
      </c>
    </row>
    <row r="235" hidden="1">
      <c r="A235" s="1"/>
      <c r="B235" s="1"/>
      <c r="C235" s="1"/>
      <c r="D235" s="1"/>
      <c r="E235" s="1"/>
      <c r="F235" s="1"/>
      <c r="G235" s="1"/>
      <c r="H235" s="1"/>
      <c r="I235" s="1"/>
      <c r="J235" s="1"/>
      <c r="K235" s="1"/>
      <c r="L235" s="1"/>
      <c r="M235" s="1"/>
      <c r="N235" s="1"/>
      <c r="O235" s="1"/>
      <c r="P235" s="1"/>
      <c r="Q235" s="1"/>
      <c r="R235" s="1"/>
      <c r="S235" s="1"/>
      <c r="T235" s="1"/>
      <c r="U235" s="5"/>
      <c r="V235" s="6"/>
      <c r="W235" s="6"/>
      <c r="X235" s="6"/>
      <c r="Y235" s="6"/>
      <c r="Z235" s="6"/>
      <c r="AA235" s="6"/>
      <c r="AB235" s="5"/>
      <c r="AC235" s="174">
        <f>IFERROR(__xludf.DUMMYFUNCTION("""COMPUTED_VALUE"""),44799.66666666667)</f>
        <v>44799.66667</v>
      </c>
      <c r="AD235" s="175">
        <f>IFERROR(__xludf.DUMMYFUNCTION("""COMPUTED_VALUE"""),161.78)</f>
        <v>161.78</v>
      </c>
    </row>
    <row r="236" hidden="1">
      <c r="A236" s="1"/>
      <c r="B236" s="1"/>
      <c r="C236" s="1"/>
      <c r="D236" s="1"/>
      <c r="E236" s="1"/>
      <c r="F236" s="1"/>
      <c r="G236" s="1"/>
      <c r="H236" s="1"/>
      <c r="I236" s="1"/>
      <c r="J236" s="1"/>
      <c r="K236" s="1"/>
      <c r="L236" s="1"/>
      <c r="M236" s="1"/>
      <c r="N236" s="1"/>
      <c r="O236" s="1"/>
      <c r="P236" s="1"/>
      <c r="Q236" s="1"/>
      <c r="R236" s="1"/>
      <c r="S236" s="1"/>
      <c r="T236" s="1"/>
      <c r="U236" s="5"/>
      <c r="V236" s="6"/>
      <c r="W236" s="6"/>
      <c r="X236" s="6"/>
      <c r="Y236" s="6"/>
      <c r="Z236" s="6"/>
      <c r="AA236" s="6"/>
      <c r="AB236" s="5"/>
      <c r="AC236" s="174">
        <f>IFERROR(__xludf.DUMMYFUNCTION("""COMPUTED_VALUE"""),44806.66666666667)</f>
        <v>44806.66667</v>
      </c>
      <c r="AD236" s="175">
        <f>IFERROR(__xludf.DUMMYFUNCTION("""COMPUTED_VALUE"""),160.32)</f>
        <v>160.32</v>
      </c>
    </row>
    <row r="237" hidden="1">
      <c r="A237" s="1"/>
      <c r="B237" s="1"/>
      <c r="C237" s="1"/>
      <c r="D237" s="1"/>
      <c r="E237" s="1"/>
      <c r="F237" s="1"/>
      <c r="G237" s="1"/>
      <c r="H237" s="1"/>
      <c r="I237" s="1"/>
      <c r="J237" s="1"/>
      <c r="K237" s="1"/>
      <c r="L237" s="1"/>
      <c r="M237" s="1"/>
      <c r="N237" s="1"/>
      <c r="O237" s="1"/>
      <c r="P237" s="1"/>
      <c r="Q237" s="1"/>
      <c r="R237" s="1"/>
      <c r="S237" s="1"/>
      <c r="T237" s="1"/>
      <c r="U237" s="5"/>
      <c r="V237" s="6"/>
      <c r="W237" s="6"/>
      <c r="X237" s="6"/>
      <c r="Y237" s="6"/>
      <c r="Z237" s="6"/>
      <c r="AA237" s="6"/>
      <c r="AB237" s="5"/>
      <c r="AC237" s="174">
        <f>IFERROR(__xludf.DUMMYFUNCTION("""COMPUTED_VALUE"""),44813.66666666667)</f>
        <v>44813.66667</v>
      </c>
      <c r="AD237" s="175">
        <f>IFERROR(__xludf.DUMMYFUNCTION("""COMPUTED_VALUE"""),169.15)</f>
        <v>169.15</v>
      </c>
    </row>
    <row r="238" hidden="1">
      <c r="A238" s="1"/>
      <c r="B238" s="1"/>
      <c r="C238" s="1"/>
      <c r="D238" s="1"/>
      <c r="E238" s="1"/>
      <c r="F238" s="1"/>
      <c r="G238" s="1"/>
      <c r="H238" s="1"/>
      <c r="I238" s="1"/>
      <c r="J238" s="1"/>
      <c r="K238" s="1"/>
      <c r="L238" s="1"/>
      <c r="M238" s="1"/>
      <c r="N238" s="1"/>
      <c r="O238" s="1"/>
      <c r="P238" s="1"/>
      <c r="Q238" s="1"/>
      <c r="R238" s="1"/>
      <c r="S238" s="1"/>
      <c r="T238" s="1"/>
      <c r="U238" s="5"/>
      <c r="V238" s="6"/>
      <c r="W238" s="6"/>
      <c r="X238" s="6"/>
      <c r="Y238" s="6"/>
      <c r="Z238" s="6"/>
      <c r="AA238" s="6"/>
      <c r="AB238" s="5"/>
      <c r="AC238" s="174">
        <f>IFERROR(__xludf.DUMMYFUNCTION("""COMPUTED_VALUE"""),44820.66666666667)</f>
        <v>44820.66667</v>
      </c>
      <c r="AD238" s="175">
        <f>IFERROR(__xludf.DUMMYFUNCTION("""COMPUTED_VALUE"""),146.29)</f>
        <v>146.29</v>
      </c>
    </row>
    <row r="239" hidden="1">
      <c r="A239" s="1"/>
      <c r="B239" s="1"/>
      <c r="C239" s="1"/>
      <c r="D239" s="1"/>
      <c r="E239" s="1"/>
      <c r="F239" s="1"/>
      <c r="G239" s="1"/>
      <c r="H239" s="1"/>
      <c r="I239" s="1"/>
      <c r="J239" s="1"/>
      <c r="K239" s="1"/>
      <c r="L239" s="1"/>
      <c r="M239" s="1"/>
      <c r="N239" s="1"/>
      <c r="O239" s="1"/>
      <c r="P239" s="1"/>
      <c r="Q239" s="1"/>
      <c r="R239" s="1"/>
      <c r="S239" s="1"/>
      <c r="T239" s="1"/>
      <c r="U239" s="5"/>
      <c r="V239" s="6"/>
      <c r="W239" s="6"/>
      <c r="X239" s="6"/>
      <c r="Y239" s="6"/>
      <c r="Z239" s="6"/>
      <c r="AA239" s="6"/>
      <c r="AB239" s="5"/>
      <c r="AC239" s="174">
        <f>IFERROR(__xludf.DUMMYFUNCTION("""COMPUTED_VALUE"""),44827.66666666667)</f>
        <v>44827.66667</v>
      </c>
      <c r="AD239" s="175">
        <f>IFERROR(__xludf.DUMMYFUNCTION("""COMPUTED_VALUE"""),140.41)</f>
        <v>140.41</v>
      </c>
    </row>
    <row r="240" hidden="1">
      <c r="A240" s="1"/>
      <c r="B240" s="1"/>
      <c r="C240" s="1"/>
      <c r="D240" s="1"/>
      <c r="E240" s="1"/>
      <c r="F240" s="1"/>
      <c r="G240" s="1"/>
      <c r="H240" s="1"/>
      <c r="I240" s="1"/>
      <c r="J240" s="1"/>
      <c r="K240" s="1"/>
      <c r="L240" s="1"/>
      <c r="M240" s="1"/>
      <c r="N240" s="1"/>
      <c r="O240" s="1"/>
      <c r="P240" s="1"/>
      <c r="Q240" s="1"/>
      <c r="R240" s="1"/>
      <c r="S240" s="1"/>
      <c r="T240" s="1"/>
      <c r="U240" s="5"/>
      <c r="V240" s="6"/>
      <c r="W240" s="6"/>
      <c r="X240" s="6"/>
      <c r="Y240" s="6"/>
      <c r="Z240" s="6"/>
      <c r="AA240" s="6"/>
      <c r="AB240" s="5"/>
      <c r="AC240" s="174">
        <f>IFERROR(__xludf.DUMMYFUNCTION("""COMPUTED_VALUE"""),44834.66666666667)</f>
        <v>44834.66667</v>
      </c>
      <c r="AD240" s="175">
        <f>IFERROR(__xludf.DUMMYFUNCTION("""COMPUTED_VALUE"""),135.68)</f>
        <v>135.68</v>
      </c>
    </row>
    <row r="241" hidden="1">
      <c r="A241" s="1"/>
      <c r="B241" s="1"/>
      <c r="C241" s="1"/>
      <c r="D241" s="1"/>
      <c r="E241" s="1"/>
      <c r="F241" s="1"/>
      <c r="G241" s="1"/>
      <c r="H241" s="1"/>
      <c r="I241" s="1"/>
      <c r="J241" s="1"/>
      <c r="K241" s="1"/>
      <c r="L241" s="1"/>
      <c r="M241" s="1"/>
      <c r="N241" s="1"/>
      <c r="O241" s="1"/>
      <c r="P241" s="1"/>
      <c r="Q241" s="1"/>
      <c r="R241" s="1"/>
      <c r="S241" s="1"/>
      <c r="T241" s="1"/>
      <c r="U241" s="5"/>
      <c r="V241" s="6"/>
      <c r="W241" s="6"/>
      <c r="X241" s="6"/>
      <c r="Y241" s="6"/>
      <c r="Z241" s="6"/>
      <c r="AA241" s="6"/>
      <c r="AB241" s="5"/>
      <c r="AC241" s="174">
        <f>IFERROR(__xludf.DUMMYFUNCTION("""COMPUTED_VALUE"""),44841.66666666667)</f>
        <v>44841.66667</v>
      </c>
      <c r="AD241" s="175">
        <f>IFERROR(__xludf.DUMMYFUNCTION("""COMPUTED_VALUE"""),133.45)</f>
        <v>133.45</v>
      </c>
    </row>
    <row r="242" hidden="1">
      <c r="A242" s="1"/>
      <c r="B242" s="1"/>
      <c r="C242" s="1"/>
      <c r="D242" s="1"/>
      <c r="E242" s="1"/>
      <c r="F242" s="1"/>
      <c r="G242" s="1"/>
      <c r="H242" s="1"/>
      <c r="I242" s="1"/>
      <c r="J242" s="1"/>
      <c r="K242" s="1"/>
      <c r="L242" s="1"/>
      <c r="M242" s="1"/>
      <c r="N242" s="1"/>
      <c r="O242" s="1"/>
      <c r="P242" s="1"/>
      <c r="Q242" s="1"/>
      <c r="R242" s="1"/>
      <c r="S242" s="1"/>
      <c r="T242" s="1"/>
      <c r="U242" s="5"/>
      <c r="V242" s="6"/>
      <c r="W242" s="6"/>
      <c r="X242" s="6"/>
      <c r="Y242" s="6"/>
      <c r="Z242" s="6"/>
      <c r="AA242" s="6"/>
      <c r="AB242" s="5"/>
      <c r="AC242" s="174">
        <f>IFERROR(__xludf.DUMMYFUNCTION("""COMPUTED_VALUE"""),44848.66666666667)</f>
        <v>44848.66667</v>
      </c>
      <c r="AD242" s="175">
        <f>IFERROR(__xludf.DUMMYFUNCTION("""COMPUTED_VALUE"""),126.76)</f>
        <v>126.76</v>
      </c>
    </row>
    <row r="243" hidden="1">
      <c r="A243" s="1"/>
      <c r="B243" s="1"/>
      <c r="C243" s="1"/>
      <c r="D243" s="1"/>
      <c r="E243" s="1"/>
      <c r="F243" s="1"/>
      <c r="G243" s="1"/>
      <c r="H243" s="1"/>
      <c r="I243" s="1"/>
      <c r="J243" s="1"/>
      <c r="K243" s="1"/>
      <c r="L243" s="1"/>
      <c r="M243" s="1"/>
      <c r="N243" s="1"/>
      <c r="O243" s="1"/>
      <c r="P243" s="1"/>
      <c r="Q243" s="1"/>
      <c r="R243" s="1"/>
      <c r="S243" s="1"/>
      <c r="T243" s="1"/>
      <c r="U243" s="5"/>
      <c r="V243" s="6"/>
      <c r="W243" s="6"/>
      <c r="X243" s="6"/>
      <c r="Y243" s="6"/>
      <c r="Z243" s="6"/>
      <c r="AA243" s="6"/>
      <c r="AB243" s="5"/>
      <c r="AC243" s="174">
        <f>IFERROR(__xludf.DUMMYFUNCTION("""COMPUTED_VALUE"""),44855.66666666667)</f>
        <v>44855.66667</v>
      </c>
      <c r="AD243" s="175">
        <f>IFERROR(__xludf.DUMMYFUNCTION("""COMPUTED_VALUE"""),130.01)</f>
        <v>130.01</v>
      </c>
    </row>
    <row r="244" hidden="1">
      <c r="A244" s="1"/>
      <c r="B244" s="1"/>
      <c r="C244" s="1"/>
      <c r="D244" s="1"/>
      <c r="E244" s="1"/>
      <c r="F244" s="1"/>
      <c r="G244" s="1"/>
      <c r="H244" s="1"/>
      <c r="I244" s="1"/>
      <c r="J244" s="1"/>
      <c r="K244" s="1"/>
      <c r="L244" s="1"/>
      <c r="M244" s="1"/>
      <c r="N244" s="1"/>
      <c r="O244" s="1"/>
      <c r="P244" s="1"/>
      <c r="Q244" s="1"/>
      <c r="R244" s="1"/>
      <c r="S244" s="1"/>
      <c r="T244" s="1"/>
      <c r="U244" s="5"/>
      <c r="V244" s="6"/>
      <c r="W244" s="6"/>
      <c r="X244" s="6"/>
      <c r="Y244" s="6"/>
      <c r="Z244" s="6"/>
      <c r="AA244" s="6"/>
      <c r="AB244" s="5"/>
      <c r="AC244" s="174">
        <f>IFERROR(__xludf.DUMMYFUNCTION("""COMPUTED_VALUE"""),44862.66666666667)</f>
        <v>44862.66667</v>
      </c>
      <c r="AD244" s="175">
        <f>IFERROR(__xludf.DUMMYFUNCTION("""COMPUTED_VALUE"""),99.2)</f>
        <v>99.2</v>
      </c>
    </row>
    <row r="245" hidden="1">
      <c r="A245" s="1"/>
      <c r="B245" s="1"/>
      <c r="C245" s="1"/>
      <c r="D245" s="1"/>
      <c r="E245" s="1"/>
      <c r="F245" s="1"/>
      <c r="G245" s="1"/>
      <c r="H245" s="1"/>
      <c r="I245" s="1"/>
      <c r="J245" s="1"/>
      <c r="K245" s="1"/>
      <c r="L245" s="1"/>
      <c r="M245" s="1"/>
      <c r="N245" s="1"/>
      <c r="O245" s="1"/>
      <c r="P245" s="1"/>
      <c r="Q245" s="1"/>
      <c r="R245" s="1"/>
      <c r="S245" s="1"/>
      <c r="T245" s="1"/>
      <c r="U245" s="5"/>
      <c r="V245" s="6"/>
      <c r="W245" s="6"/>
      <c r="X245" s="6"/>
      <c r="Y245" s="6"/>
      <c r="Z245" s="6"/>
      <c r="AA245" s="6"/>
      <c r="AB245" s="5"/>
      <c r="AC245" s="174">
        <f>IFERROR(__xludf.DUMMYFUNCTION("""COMPUTED_VALUE"""),44869.66666666667)</f>
        <v>44869.66667</v>
      </c>
      <c r="AD245" s="175">
        <f>IFERROR(__xludf.DUMMYFUNCTION("""COMPUTED_VALUE"""),90.79)</f>
        <v>90.79</v>
      </c>
    </row>
    <row r="246" hidden="1">
      <c r="A246" s="1"/>
      <c r="B246" s="1"/>
      <c r="C246" s="1"/>
      <c r="D246" s="1"/>
      <c r="E246" s="1"/>
      <c r="F246" s="1"/>
      <c r="G246" s="1"/>
      <c r="H246" s="1"/>
      <c r="I246" s="1"/>
      <c r="J246" s="1"/>
      <c r="K246" s="1"/>
      <c r="L246" s="1"/>
      <c r="M246" s="1"/>
      <c r="N246" s="1"/>
      <c r="O246" s="1"/>
      <c r="P246" s="1"/>
      <c r="Q246" s="1"/>
      <c r="R246" s="1"/>
      <c r="S246" s="1"/>
      <c r="T246" s="1"/>
      <c r="U246" s="5"/>
      <c r="V246" s="6"/>
      <c r="W246" s="6"/>
      <c r="X246" s="6"/>
      <c r="Y246" s="6"/>
      <c r="Z246" s="6"/>
      <c r="AA246" s="6"/>
      <c r="AB246" s="5"/>
      <c r="AC246" s="174">
        <f>IFERROR(__xludf.DUMMYFUNCTION("""COMPUTED_VALUE"""),44876.66666666667)</f>
        <v>44876.66667</v>
      </c>
      <c r="AD246" s="175">
        <f>IFERROR(__xludf.DUMMYFUNCTION("""COMPUTED_VALUE"""),113.02)</f>
        <v>113.02</v>
      </c>
    </row>
    <row r="247" hidden="1">
      <c r="A247" s="1"/>
      <c r="B247" s="1"/>
      <c r="C247" s="1"/>
      <c r="D247" s="1"/>
      <c r="E247" s="1"/>
      <c r="F247" s="1"/>
      <c r="G247" s="1"/>
      <c r="H247" s="1"/>
      <c r="I247" s="1"/>
      <c r="J247" s="1"/>
      <c r="K247" s="1"/>
      <c r="L247" s="1"/>
      <c r="M247" s="1"/>
      <c r="N247" s="1"/>
      <c r="O247" s="1"/>
      <c r="P247" s="1"/>
      <c r="Q247" s="1"/>
      <c r="R247" s="1"/>
      <c r="S247" s="1"/>
      <c r="T247" s="1"/>
      <c r="U247" s="5"/>
      <c r="V247" s="6"/>
      <c r="W247" s="6"/>
      <c r="X247" s="6"/>
      <c r="Y247" s="6"/>
      <c r="Z247" s="6"/>
      <c r="AA247" s="6"/>
      <c r="AB247" s="5"/>
      <c r="AC247" s="174">
        <f>IFERROR(__xludf.DUMMYFUNCTION("""COMPUTED_VALUE"""),44883.66666666667)</f>
        <v>44883.66667</v>
      </c>
      <c r="AD247" s="175">
        <f>IFERROR(__xludf.DUMMYFUNCTION("""COMPUTED_VALUE"""),112.05)</f>
        <v>112.05</v>
      </c>
    </row>
    <row r="248" hidden="1">
      <c r="A248" s="1"/>
      <c r="B248" s="1"/>
      <c r="C248" s="1"/>
      <c r="D248" s="1"/>
      <c r="E248" s="1"/>
      <c r="F248" s="1"/>
      <c r="G248" s="1"/>
      <c r="H248" s="1"/>
      <c r="I248" s="1"/>
      <c r="J248" s="1"/>
      <c r="K248" s="1"/>
      <c r="L248" s="1"/>
      <c r="M248" s="1"/>
      <c r="N248" s="1"/>
      <c r="O248" s="1"/>
      <c r="P248" s="1"/>
      <c r="Q248" s="1"/>
      <c r="R248" s="1"/>
      <c r="S248" s="1"/>
      <c r="T248" s="1"/>
      <c r="U248" s="5"/>
      <c r="V248" s="6"/>
      <c r="W248" s="6"/>
      <c r="X248" s="6"/>
      <c r="Y248" s="6"/>
      <c r="Z248" s="6"/>
      <c r="AA248" s="6"/>
      <c r="AB248" s="5"/>
      <c r="AC248" s="174">
        <f>IFERROR(__xludf.DUMMYFUNCTION("""COMPUTED_VALUE"""),44890.54513888889)</f>
        <v>44890.54514</v>
      </c>
      <c r="AD248" s="175">
        <f>IFERROR(__xludf.DUMMYFUNCTION("""COMPUTED_VALUE"""),111.41)</f>
        <v>111.41</v>
      </c>
    </row>
    <row r="249" hidden="1">
      <c r="A249" s="1"/>
      <c r="B249" s="1"/>
      <c r="C249" s="1"/>
      <c r="D249" s="1"/>
      <c r="E249" s="1"/>
      <c r="F249" s="1"/>
      <c r="G249" s="1"/>
      <c r="H249" s="1"/>
      <c r="I249" s="1"/>
      <c r="J249" s="1"/>
      <c r="K249" s="1"/>
      <c r="L249" s="1"/>
      <c r="M249" s="1"/>
      <c r="N249" s="1"/>
      <c r="O249" s="1"/>
      <c r="P249" s="1"/>
      <c r="Q249" s="1"/>
      <c r="R249" s="1"/>
      <c r="S249" s="1"/>
      <c r="T249" s="1"/>
      <c r="U249" s="5"/>
      <c r="V249" s="6"/>
      <c r="W249" s="6"/>
      <c r="X249" s="6"/>
      <c r="Y249" s="6"/>
      <c r="Z249" s="6"/>
      <c r="AA249" s="6"/>
      <c r="AB249" s="5"/>
      <c r="AC249" s="174">
        <f>IFERROR(__xludf.DUMMYFUNCTION("""COMPUTED_VALUE"""),44897.66666666667)</f>
        <v>44897.66667</v>
      </c>
      <c r="AD249" s="175">
        <f>IFERROR(__xludf.DUMMYFUNCTION("""COMPUTED_VALUE"""),123.49)</f>
        <v>123.49</v>
      </c>
    </row>
    <row r="250" hidden="1">
      <c r="A250" s="1"/>
      <c r="B250" s="1"/>
      <c r="C250" s="1"/>
      <c r="D250" s="1"/>
      <c r="E250" s="1"/>
      <c r="F250" s="1"/>
      <c r="G250" s="1"/>
      <c r="H250" s="1"/>
      <c r="I250" s="1"/>
      <c r="J250" s="1"/>
      <c r="K250" s="1"/>
      <c r="L250" s="1"/>
      <c r="M250" s="1"/>
      <c r="N250" s="1"/>
      <c r="O250" s="1"/>
      <c r="P250" s="1"/>
      <c r="Q250" s="1"/>
      <c r="R250" s="1"/>
      <c r="S250" s="1"/>
      <c r="T250" s="1"/>
      <c r="U250" s="5"/>
      <c r="V250" s="6"/>
      <c r="W250" s="6"/>
      <c r="X250" s="6"/>
      <c r="Y250" s="6"/>
      <c r="Z250" s="6"/>
      <c r="AA250" s="6"/>
      <c r="AB250" s="5"/>
      <c r="AC250" s="174">
        <f>IFERROR(__xludf.DUMMYFUNCTION("""COMPUTED_VALUE"""),44904.66666666667)</f>
        <v>44904.66667</v>
      </c>
      <c r="AD250" s="175">
        <f>IFERROR(__xludf.DUMMYFUNCTION("""COMPUTED_VALUE"""),115.9)</f>
        <v>115.9</v>
      </c>
    </row>
    <row r="251" hidden="1">
      <c r="A251" s="1"/>
      <c r="B251" s="1"/>
      <c r="C251" s="1"/>
      <c r="D251" s="1"/>
      <c r="E251" s="1"/>
      <c r="F251" s="1"/>
      <c r="G251" s="1"/>
      <c r="H251" s="1"/>
      <c r="I251" s="1"/>
      <c r="J251" s="1"/>
      <c r="K251" s="1"/>
      <c r="L251" s="1"/>
      <c r="M251" s="1"/>
      <c r="N251" s="1"/>
      <c r="O251" s="1"/>
      <c r="P251" s="1"/>
      <c r="Q251" s="1"/>
      <c r="R251" s="1"/>
      <c r="S251" s="1"/>
      <c r="T251" s="1"/>
      <c r="U251" s="5"/>
      <c r="V251" s="6"/>
      <c r="W251" s="6"/>
      <c r="X251" s="6"/>
      <c r="Y251" s="6"/>
      <c r="Z251" s="6"/>
      <c r="AA251" s="6"/>
      <c r="AB251" s="5"/>
      <c r="AC251" s="174">
        <f>IFERROR(__xludf.DUMMYFUNCTION("""COMPUTED_VALUE"""),44911.66666666667)</f>
        <v>44911.66667</v>
      </c>
      <c r="AD251" s="175">
        <f>IFERROR(__xludf.DUMMYFUNCTION("""COMPUTED_VALUE"""),119.43)</f>
        <v>119.43</v>
      </c>
    </row>
    <row r="252" hidden="1">
      <c r="A252" s="1"/>
      <c r="B252" s="1"/>
      <c r="C252" s="1"/>
      <c r="D252" s="1"/>
      <c r="E252" s="1"/>
      <c r="F252" s="1"/>
      <c r="G252" s="1"/>
      <c r="H252" s="1"/>
      <c r="I252" s="1"/>
      <c r="J252" s="1"/>
      <c r="K252" s="1"/>
      <c r="L252" s="1"/>
      <c r="M252" s="1"/>
      <c r="N252" s="1"/>
      <c r="O252" s="1"/>
      <c r="P252" s="1"/>
      <c r="Q252" s="1"/>
      <c r="R252" s="1"/>
      <c r="S252" s="1"/>
      <c r="T252" s="1"/>
      <c r="U252" s="5"/>
      <c r="V252" s="6"/>
      <c r="W252" s="6"/>
      <c r="X252" s="6"/>
      <c r="Y252" s="6"/>
      <c r="Z252" s="6"/>
      <c r="AA252" s="6"/>
      <c r="AB252" s="5"/>
      <c r="AC252" s="174">
        <f>IFERROR(__xludf.DUMMYFUNCTION("""COMPUTED_VALUE"""),44918.66666666667)</f>
        <v>44918.66667</v>
      </c>
      <c r="AD252" s="175">
        <f>IFERROR(__xludf.DUMMYFUNCTION("""COMPUTED_VALUE"""),118.04)</f>
        <v>118.04</v>
      </c>
    </row>
    <row r="253" hidden="1">
      <c r="A253" s="1"/>
      <c r="B253" s="1"/>
      <c r="C253" s="1"/>
      <c r="D253" s="1"/>
      <c r="E253" s="1"/>
      <c r="F253" s="1"/>
      <c r="G253" s="1"/>
      <c r="H253" s="1"/>
      <c r="I253" s="1"/>
      <c r="J253" s="1"/>
      <c r="K253" s="1"/>
      <c r="L253" s="1"/>
      <c r="M253" s="1"/>
      <c r="N253" s="1"/>
      <c r="O253" s="1"/>
      <c r="P253" s="1"/>
      <c r="Q253" s="1"/>
      <c r="R253" s="1"/>
      <c r="S253" s="1"/>
      <c r="T253" s="1"/>
      <c r="U253" s="5"/>
      <c r="V253" s="6"/>
      <c r="W253" s="6"/>
      <c r="X253" s="6"/>
      <c r="Y253" s="6"/>
      <c r="Z253" s="6"/>
      <c r="AA253" s="6"/>
      <c r="AB253" s="5"/>
      <c r="AC253" s="174">
        <f>IFERROR(__xludf.DUMMYFUNCTION("""COMPUTED_VALUE"""),44925.66666666667)</f>
        <v>44925.66667</v>
      </c>
      <c r="AD253" s="175">
        <f>IFERROR(__xludf.DUMMYFUNCTION("""COMPUTED_VALUE"""),120.34)</f>
        <v>120.34</v>
      </c>
    </row>
    <row r="254" hidden="1">
      <c r="A254" s="1"/>
      <c r="B254" s="1"/>
      <c r="C254" s="1"/>
      <c r="D254" s="1"/>
      <c r="E254" s="1"/>
      <c r="F254" s="1"/>
      <c r="G254" s="1"/>
      <c r="H254" s="1"/>
      <c r="I254" s="1"/>
      <c r="J254" s="1"/>
      <c r="K254" s="1"/>
      <c r="L254" s="1"/>
      <c r="M254" s="1"/>
      <c r="N254" s="1"/>
      <c r="O254" s="1"/>
      <c r="P254" s="1"/>
      <c r="Q254" s="1"/>
      <c r="R254" s="1"/>
      <c r="S254" s="1"/>
      <c r="T254" s="1"/>
      <c r="U254" s="5"/>
      <c r="V254" s="6"/>
      <c r="W254" s="6"/>
      <c r="X254" s="6"/>
      <c r="Y254" s="6"/>
      <c r="Z254" s="6"/>
      <c r="AA254" s="6"/>
      <c r="AB254" s="5"/>
      <c r="AC254" s="174">
        <f>IFERROR(__xludf.DUMMYFUNCTION("""COMPUTED_VALUE"""),44932.66666666667)</f>
        <v>44932.66667</v>
      </c>
      <c r="AD254" s="175">
        <f>IFERROR(__xludf.DUMMYFUNCTION("""COMPUTED_VALUE"""),130.02)</f>
        <v>130.02</v>
      </c>
    </row>
    <row r="255" hidden="1">
      <c r="A255" s="1"/>
      <c r="B255" s="1"/>
      <c r="C255" s="1"/>
      <c r="D255" s="1"/>
      <c r="E255" s="1"/>
      <c r="F255" s="1"/>
      <c r="G255" s="1"/>
      <c r="H255" s="1"/>
      <c r="I255" s="1"/>
      <c r="J255" s="1"/>
      <c r="K255" s="1"/>
      <c r="L255" s="1"/>
      <c r="M255" s="1"/>
      <c r="N255" s="1"/>
      <c r="O255" s="1"/>
      <c r="P255" s="1"/>
      <c r="Q255" s="1"/>
      <c r="R255" s="1"/>
      <c r="S255" s="1"/>
      <c r="T255" s="1"/>
      <c r="U255" s="5"/>
      <c r="V255" s="6"/>
      <c r="W255" s="6"/>
      <c r="X255" s="6"/>
      <c r="Y255" s="6"/>
      <c r="Z255" s="6"/>
      <c r="AA255" s="6"/>
      <c r="AB255" s="5"/>
      <c r="AC255" s="174">
        <f>IFERROR(__xludf.DUMMYFUNCTION("""COMPUTED_VALUE"""),44939.66666666667)</f>
        <v>44939.66667</v>
      </c>
      <c r="AD255" s="175">
        <f>IFERROR(__xludf.DUMMYFUNCTION("""COMPUTED_VALUE"""),136.98)</f>
        <v>136.98</v>
      </c>
    </row>
    <row r="256" hidden="1">
      <c r="A256" s="1"/>
      <c r="B256" s="1"/>
      <c r="C256" s="1"/>
      <c r="D256" s="1"/>
      <c r="E256" s="1"/>
      <c r="F256" s="1"/>
      <c r="G256" s="1"/>
      <c r="H256" s="1"/>
      <c r="I256" s="1"/>
      <c r="J256" s="1"/>
      <c r="K256" s="1"/>
      <c r="L256" s="1"/>
      <c r="M256" s="1"/>
      <c r="N256" s="1"/>
      <c r="O256" s="1"/>
      <c r="P256" s="1"/>
      <c r="Q256" s="1"/>
      <c r="R256" s="1"/>
      <c r="S256" s="1"/>
      <c r="T256" s="1"/>
      <c r="U256" s="5"/>
      <c r="V256" s="6"/>
      <c r="W256" s="6"/>
      <c r="X256" s="6"/>
      <c r="Y256" s="6"/>
      <c r="Z256" s="6"/>
      <c r="AA256" s="6"/>
      <c r="AB256" s="5"/>
      <c r="AC256" s="174">
        <f>IFERROR(__xludf.DUMMYFUNCTION("""COMPUTED_VALUE"""),44946.66666666667)</f>
        <v>44946.66667</v>
      </c>
      <c r="AD256" s="175">
        <f>IFERROR(__xludf.DUMMYFUNCTION("""COMPUTED_VALUE"""),139.37)</f>
        <v>139.37</v>
      </c>
    </row>
    <row r="257" hidden="1">
      <c r="A257" s="1"/>
      <c r="B257" s="1"/>
      <c r="C257" s="1"/>
      <c r="D257" s="1"/>
      <c r="E257" s="1"/>
      <c r="F257" s="1"/>
      <c r="G257" s="1"/>
      <c r="H257" s="1"/>
      <c r="I257" s="1"/>
      <c r="J257" s="1"/>
      <c r="K257" s="1"/>
      <c r="L257" s="1"/>
      <c r="M257" s="1"/>
      <c r="N257" s="1"/>
      <c r="O257" s="1"/>
      <c r="P257" s="1"/>
      <c r="Q257" s="1"/>
      <c r="R257" s="1"/>
      <c r="S257" s="1"/>
      <c r="T257" s="1"/>
      <c r="U257" s="5"/>
      <c r="V257" s="6"/>
      <c r="W257" s="6"/>
      <c r="X257" s="6"/>
      <c r="Y257" s="6"/>
      <c r="Z257" s="6"/>
      <c r="AA257" s="6"/>
      <c r="AB257" s="5"/>
      <c r="AC257" s="174">
        <f>IFERROR(__xludf.DUMMYFUNCTION("""COMPUTED_VALUE"""),44953.66666666667)</f>
        <v>44953.66667</v>
      </c>
      <c r="AD257" s="175">
        <f>IFERROR(__xludf.DUMMYFUNCTION("""COMPUTED_VALUE"""),151.74)</f>
        <v>151.74</v>
      </c>
    </row>
    <row r="258" hidden="1">
      <c r="A258" s="1"/>
      <c r="B258" s="1"/>
      <c r="C258" s="1"/>
      <c r="D258" s="1"/>
      <c r="E258" s="1"/>
      <c r="F258" s="1"/>
      <c r="G258" s="1"/>
      <c r="H258" s="1"/>
      <c r="I258" s="1"/>
      <c r="J258" s="1"/>
      <c r="K258" s="1"/>
      <c r="L258" s="1"/>
      <c r="M258" s="1"/>
      <c r="N258" s="1"/>
      <c r="O258" s="1"/>
      <c r="P258" s="1"/>
      <c r="Q258" s="1"/>
      <c r="R258" s="1"/>
      <c r="S258" s="1"/>
      <c r="T258" s="1"/>
      <c r="U258" s="5"/>
      <c r="V258" s="6"/>
      <c r="W258" s="6"/>
      <c r="X258" s="6"/>
      <c r="Y258" s="6"/>
      <c r="Z258" s="6"/>
      <c r="AA258" s="6"/>
      <c r="AB258" s="5"/>
      <c r="AC258" s="174">
        <f>IFERROR(__xludf.DUMMYFUNCTION("""COMPUTED_VALUE"""),44960.66666666667)</f>
        <v>44960.66667</v>
      </c>
      <c r="AD258" s="175">
        <f>IFERROR(__xludf.DUMMYFUNCTION("""COMPUTED_VALUE"""),186.53)</f>
        <v>186.53</v>
      </c>
    </row>
    <row r="259" hidden="1">
      <c r="A259" s="1"/>
      <c r="B259" s="1"/>
      <c r="C259" s="1"/>
      <c r="D259" s="1"/>
      <c r="E259" s="1"/>
      <c r="F259" s="1"/>
      <c r="G259" s="1"/>
      <c r="H259" s="1"/>
      <c r="I259" s="1"/>
      <c r="J259" s="1"/>
      <c r="K259" s="1"/>
      <c r="L259" s="1"/>
      <c r="M259" s="1"/>
      <c r="N259" s="1"/>
      <c r="O259" s="1"/>
      <c r="P259" s="1"/>
      <c r="Q259" s="1"/>
      <c r="R259" s="1"/>
      <c r="S259" s="1"/>
      <c r="T259" s="1"/>
      <c r="U259" s="5"/>
      <c r="V259" s="6"/>
      <c r="W259" s="6"/>
      <c r="X259" s="6"/>
      <c r="Y259" s="6"/>
      <c r="Z259" s="6"/>
      <c r="AA259" s="6"/>
      <c r="AB259" s="5"/>
      <c r="AC259" s="174">
        <f>IFERROR(__xludf.DUMMYFUNCTION("""COMPUTED_VALUE"""),44967.66666666667)</f>
        <v>44967.66667</v>
      </c>
      <c r="AD259" s="175">
        <f>IFERROR(__xludf.DUMMYFUNCTION("""COMPUTED_VALUE"""),174.15)</f>
        <v>174.15</v>
      </c>
    </row>
    <row r="260" hidden="1">
      <c r="A260" s="1"/>
      <c r="B260" s="1"/>
      <c r="C260" s="1"/>
      <c r="D260" s="1"/>
      <c r="E260" s="1"/>
      <c r="F260" s="1"/>
      <c r="G260" s="1"/>
      <c r="H260" s="1"/>
      <c r="I260" s="1"/>
      <c r="J260" s="1"/>
      <c r="K260" s="1"/>
      <c r="L260" s="1"/>
      <c r="M260" s="1"/>
      <c r="N260" s="1"/>
      <c r="O260" s="1"/>
      <c r="P260" s="1"/>
      <c r="Q260" s="1"/>
      <c r="R260" s="1"/>
      <c r="S260" s="1"/>
      <c r="T260" s="1"/>
      <c r="U260" s="5"/>
      <c r="V260" s="6"/>
      <c r="W260" s="6"/>
      <c r="X260" s="6"/>
      <c r="Y260" s="6"/>
      <c r="Z260" s="6"/>
      <c r="AA260" s="6"/>
      <c r="AB260" s="5"/>
      <c r="AC260" s="174">
        <f>IFERROR(__xludf.DUMMYFUNCTION("""COMPUTED_VALUE"""),44974.66666666667)</f>
        <v>44974.66667</v>
      </c>
      <c r="AD260" s="175">
        <f>IFERROR(__xludf.DUMMYFUNCTION("""COMPUTED_VALUE"""),172.88)</f>
        <v>172.88</v>
      </c>
    </row>
    <row r="261" hidden="1">
      <c r="A261" s="1"/>
      <c r="B261" s="1"/>
      <c r="C261" s="1"/>
      <c r="D261" s="1"/>
      <c r="E261" s="1"/>
      <c r="F261" s="1"/>
      <c r="G261" s="1"/>
      <c r="H261" s="1"/>
      <c r="I261" s="1"/>
      <c r="J261" s="1"/>
      <c r="K261" s="1"/>
      <c r="L261" s="1"/>
      <c r="M261" s="1"/>
      <c r="N261" s="1"/>
      <c r="O261" s="1"/>
      <c r="P261" s="1"/>
      <c r="Q261" s="1"/>
      <c r="R261" s="1"/>
      <c r="S261" s="1"/>
      <c r="T261" s="1"/>
      <c r="U261" s="5"/>
      <c r="V261" s="6"/>
      <c r="W261" s="6"/>
      <c r="X261" s="6"/>
      <c r="Y261" s="6"/>
      <c r="Z261" s="6"/>
      <c r="AA261" s="6"/>
      <c r="AB261" s="5"/>
      <c r="AC261" s="174">
        <f>IFERROR(__xludf.DUMMYFUNCTION("""COMPUTED_VALUE"""),44981.66666666667)</f>
        <v>44981.66667</v>
      </c>
      <c r="AD261" s="175">
        <f>IFERROR(__xludf.DUMMYFUNCTION("""COMPUTED_VALUE"""),170.39)</f>
        <v>170.39</v>
      </c>
    </row>
    <row r="262" hidden="1">
      <c r="A262" s="1"/>
      <c r="B262" s="1"/>
      <c r="C262" s="1"/>
      <c r="D262" s="1"/>
      <c r="E262" s="1"/>
      <c r="F262" s="1"/>
      <c r="G262" s="1"/>
      <c r="H262" s="1"/>
      <c r="I262" s="1"/>
      <c r="J262" s="1"/>
      <c r="K262" s="1"/>
      <c r="L262" s="1"/>
      <c r="M262" s="1"/>
      <c r="N262" s="1"/>
      <c r="O262" s="1"/>
      <c r="P262" s="1"/>
      <c r="Q262" s="1"/>
      <c r="R262" s="1"/>
      <c r="S262" s="1"/>
      <c r="T262" s="1"/>
      <c r="U262" s="5"/>
      <c r="V262" s="6"/>
      <c r="W262" s="6"/>
      <c r="X262" s="6"/>
      <c r="Y262" s="6"/>
      <c r="Z262" s="6"/>
      <c r="AA262" s="6"/>
      <c r="AB262" s="5"/>
      <c r="AC262" s="174">
        <f>IFERROR(__xludf.DUMMYFUNCTION("""COMPUTED_VALUE"""),44988.66666666667)</f>
        <v>44988.66667</v>
      </c>
      <c r="AD262" s="175">
        <f>IFERROR(__xludf.DUMMYFUNCTION("""COMPUTED_VALUE"""),185.25)</f>
        <v>185.25</v>
      </c>
    </row>
    <row r="263" hidden="1">
      <c r="A263" s="1"/>
      <c r="B263" s="1"/>
      <c r="C263" s="1"/>
      <c r="D263" s="1"/>
      <c r="E263" s="1"/>
      <c r="F263" s="1"/>
      <c r="G263" s="1"/>
      <c r="H263" s="1"/>
      <c r="I263" s="1"/>
      <c r="J263" s="1"/>
      <c r="K263" s="1"/>
      <c r="L263" s="1"/>
      <c r="M263" s="1"/>
      <c r="N263" s="1"/>
      <c r="O263" s="1"/>
      <c r="P263" s="1"/>
      <c r="Q263" s="1"/>
      <c r="R263" s="1"/>
      <c r="S263" s="1"/>
      <c r="T263" s="1"/>
      <c r="U263" s="5"/>
      <c r="V263" s="6"/>
      <c r="W263" s="6"/>
      <c r="X263" s="6"/>
      <c r="Y263" s="6"/>
      <c r="Z263" s="6"/>
      <c r="AA263" s="6"/>
      <c r="AB263" s="5"/>
      <c r="AC263" s="174">
        <f>IFERROR(__xludf.DUMMYFUNCTION("""COMPUTED_VALUE"""),44995.66666666667)</f>
        <v>44995.66667</v>
      </c>
      <c r="AD263" s="175">
        <f>IFERROR(__xludf.DUMMYFUNCTION("""COMPUTED_VALUE"""),179.51)</f>
        <v>179.51</v>
      </c>
    </row>
    <row r="264" hidden="1">
      <c r="A264" s="1"/>
      <c r="B264" s="1"/>
      <c r="C264" s="1"/>
      <c r="D264" s="1"/>
      <c r="E264" s="1"/>
      <c r="F264" s="1"/>
      <c r="G264" s="1"/>
      <c r="H264" s="1"/>
      <c r="I264" s="1"/>
      <c r="J264" s="1"/>
      <c r="K264" s="1"/>
      <c r="L264" s="1"/>
      <c r="M264" s="1"/>
      <c r="N264" s="1"/>
      <c r="O264" s="1"/>
      <c r="P264" s="1"/>
      <c r="Q264" s="1"/>
      <c r="R264" s="1"/>
      <c r="S264" s="1"/>
      <c r="T264" s="1"/>
      <c r="U264" s="5"/>
      <c r="V264" s="6"/>
      <c r="W264" s="6"/>
      <c r="X264" s="6"/>
      <c r="Y264" s="6"/>
      <c r="Z264" s="6"/>
      <c r="AA264" s="6"/>
      <c r="AB264" s="5"/>
      <c r="AC264" s="174">
        <f>IFERROR(__xludf.DUMMYFUNCTION("""COMPUTED_VALUE"""),45002.66666666667)</f>
        <v>45002.66667</v>
      </c>
      <c r="AD264" s="175">
        <f>IFERROR(__xludf.DUMMYFUNCTION("""COMPUTED_VALUE"""),195.61)</f>
        <v>195.61</v>
      </c>
    </row>
    <row r="265" hidden="1">
      <c r="A265" s="1"/>
      <c r="B265" s="1"/>
      <c r="C265" s="1"/>
      <c r="D265" s="1"/>
      <c r="E265" s="1"/>
      <c r="F265" s="1"/>
      <c r="G265" s="1"/>
      <c r="H265" s="1"/>
      <c r="I265" s="1"/>
      <c r="J265" s="1"/>
      <c r="K265" s="1"/>
      <c r="L265" s="1"/>
      <c r="M265" s="1"/>
      <c r="N265" s="1"/>
      <c r="O265" s="1"/>
      <c r="P265" s="1"/>
      <c r="Q265" s="1"/>
      <c r="R265" s="1"/>
      <c r="S265" s="1"/>
      <c r="T265" s="1"/>
      <c r="U265" s="5"/>
      <c r="V265" s="6"/>
      <c r="W265" s="6"/>
      <c r="X265" s="6"/>
      <c r="Y265" s="6"/>
      <c r="Z265" s="6"/>
      <c r="AA265" s="6"/>
      <c r="AB265" s="5"/>
      <c r="AC265" s="174">
        <f>IFERROR(__xludf.DUMMYFUNCTION("""COMPUTED_VALUE"""),45009.66666666667)</f>
        <v>45009.66667</v>
      </c>
      <c r="AD265" s="175">
        <f>IFERROR(__xludf.DUMMYFUNCTION("""COMPUTED_VALUE"""),206.01)</f>
        <v>206.01</v>
      </c>
    </row>
    <row r="266" hidden="1">
      <c r="A266" s="1"/>
      <c r="B266" s="1"/>
      <c r="C266" s="1"/>
      <c r="D266" s="1"/>
      <c r="E266" s="1"/>
      <c r="F266" s="1"/>
      <c r="G266" s="1"/>
      <c r="H266" s="1"/>
      <c r="I266" s="1"/>
      <c r="J266" s="1"/>
      <c r="K266" s="1"/>
      <c r="L266" s="1"/>
      <c r="M266" s="1"/>
      <c r="N266" s="1"/>
      <c r="O266" s="1"/>
      <c r="P266" s="1"/>
      <c r="Q266" s="1"/>
      <c r="R266" s="1"/>
      <c r="S266" s="1"/>
      <c r="T266" s="1"/>
      <c r="U266" s="5"/>
      <c r="V266" s="6"/>
      <c r="W266" s="6"/>
      <c r="X266" s="6"/>
      <c r="Y266" s="6"/>
      <c r="Z266" s="6"/>
      <c r="AA266" s="6"/>
      <c r="AB266" s="5"/>
      <c r="AC266" s="174">
        <f>IFERROR(__xludf.DUMMYFUNCTION("""COMPUTED_VALUE"""),45016.66666666667)</f>
        <v>45016.66667</v>
      </c>
      <c r="AD266" s="175">
        <f>IFERROR(__xludf.DUMMYFUNCTION("""COMPUTED_VALUE"""),211.94)</f>
        <v>211.94</v>
      </c>
    </row>
    <row r="267" hidden="1">
      <c r="A267" s="1"/>
      <c r="B267" s="1"/>
      <c r="C267" s="1"/>
      <c r="D267" s="1"/>
      <c r="E267" s="1"/>
      <c r="F267" s="1"/>
      <c r="G267" s="1"/>
      <c r="H267" s="1"/>
      <c r="I267" s="1"/>
      <c r="J267" s="1"/>
      <c r="K267" s="1"/>
      <c r="L267" s="1"/>
      <c r="M267" s="1"/>
      <c r="N267" s="1"/>
      <c r="O267" s="1"/>
      <c r="P267" s="1"/>
      <c r="Q267" s="1"/>
      <c r="R267" s="1"/>
      <c r="S267" s="1"/>
      <c r="T267" s="1"/>
      <c r="U267" s="5"/>
      <c r="V267" s="6"/>
      <c r="W267" s="6"/>
      <c r="X267" s="6"/>
      <c r="Y267" s="6"/>
      <c r="Z267" s="6"/>
      <c r="AA267" s="6"/>
      <c r="AB267" s="5"/>
      <c r="AC267" s="174">
        <f>IFERROR(__xludf.DUMMYFUNCTION("""COMPUTED_VALUE"""),45022.66666666667)</f>
        <v>45022.66667</v>
      </c>
      <c r="AD267" s="175">
        <f>IFERROR(__xludf.DUMMYFUNCTION("""COMPUTED_VALUE"""),216.1)</f>
        <v>216.1</v>
      </c>
    </row>
    <row r="268" hidden="1">
      <c r="A268" s="1"/>
      <c r="B268" s="1"/>
      <c r="C268" s="1"/>
      <c r="D268" s="1"/>
      <c r="E268" s="1"/>
      <c r="F268" s="1"/>
      <c r="G268" s="1"/>
      <c r="H268" s="1"/>
      <c r="I268" s="1"/>
      <c r="J268" s="1"/>
      <c r="K268" s="1"/>
      <c r="L268" s="1"/>
      <c r="M268" s="1"/>
      <c r="N268" s="1"/>
      <c r="O268" s="1"/>
      <c r="P268" s="1"/>
      <c r="Q268" s="1"/>
      <c r="R268" s="1"/>
      <c r="S268" s="1"/>
      <c r="T268" s="1"/>
      <c r="U268" s="5"/>
      <c r="V268" s="6"/>
      <c r="W268" s="6"/>
      <c r="X268" s="6"/>
      <c r="Y268" s="6"/>
      <c r="Z268" s="6"/>
      <c r="AA268" s="6"/>
      <c r="AB268" s="5"/>
      <c r="AC268" s="174">
        <f>IFERROR(__xludf.DUMMYFUNCTION("""COMPUTED_VALUE"""),45030.66666666667)</f>
        <v>45030.66667</v>
      </c>
      <c r="AD268" s="175">
        <f>IFERROR(__xludf.DUMMYFUNCTION("""COMPUTED_VALUE"""),221.49)</f>
        <v>221.49</v>
      </c>
    </row>
    <row r="269" hidden="1">
      <c r="A269" s="1"/>
      <c r="B269" s="1"/>
      <c r="C269" s="1"/>
      <c r="D269" s="1"/>
      <c r="E269" s="1"/>
      <c r="F269" s="1"/>
      <c r="G269" s="1"/>
      <c r="H269" s="1"/>
      <c r="I269" s="1"/>
      <c r="J269" s="1"/>
      <c r="K269" s="1"/>
      <c r="L269" s="1"/>
      <c r="M269" s="1"/>
      <c r="N269" s="1"/>
      <c r="O269" s="1"/>
      <c r="P269" s="1"/>
      <c r="Q269" s="1"/>
      <c r="R269" s="1"/>
      <c r="S269" s="1"/>
      <c r="T269" s="1"/>
      <c r="U269" s="5"/>
      <c r="V269" s="6"/>
      <c r="W269" s="6"/>
      <c r="X269" s="6"/>
      <c r="Y269" s="6"/>
      <c r="Z269" s="6"/>
      <c r="AA269" s="6"/>
      <c r="AB269" s="5"/>
      <c r="AC269" s="174">
        <f>IFERROR(__xludf.DUMMYFUNCTION("""COMPUTED_VALUE"""),45037.66666666667)</f>
        <v>45037.66667</v>
      </c>
      <c r="AD269" s="175">
        <f>IFERROR(__xludf.DUMMYFUNCTION("""COMPUTED_VALUE"""),212.89)</f>
        <v>212.89</v>
      </c>
    </row>
    <row r="270" hidden="1">
      <c r="A270" s="1"/>
      <c r="B270" s="1"/>
      <c r="C270" s="1"/>
      <c r="D270" s="1"/>
      <c r="E270" s="1"/>
      <c r="F270" s="1"/>
      <c r="G270" s="1"/>
      <c r="H270" s="1"/>
      <c r="I270" s="1"/>
      <c r="J270" s="1"/>
      <c r="K270" s="1"/>
      <c r="L270" s="1"/>
      <c r="M270" s="1"/>
      <c r="N270" s="1"/>
      <c r="O270" s="1"/>
      <c r="P270" s="1"/>
      <c r="Q270" s="1"/>
      <c r="R270" s="1"/>
      <c r="S270" s="1"/>
      <c r="T270" s="1"/>
      <c r="U270" s="5"/>
      <c r="V270" s="6"/>
      <c r="W270" s="6"/>
      <c r="X270" s="6"/>
      <c r="Y270" s="6"/>
      <c r="Z270" s="6"/>
      <c r="AA270" s="6"/>
      <c r="AB270" s="5"/>
      <c r="AC270" s="174">
        <f>IFERROR(__xludf.DUMMYFUNCTION("""COMPUTED_VALUE"""),45044.66666666667)</f>
        <v>45044.66667</v>
      </c>
      <c r="AD270" s="175">
        <f>IFERROR(__xludf.DUMMYFUNCTION("""COMPUTED_VALUE"""),240.32)</f>
        <v>240.32</v>
      </c>
    </row>
    <row r="271" hidden="1">
      <c r="A271" s="1"/>
      <c r="B271" s="1"/>
      <c r="C271" s="1"/>
      <c r="D271" s="1"/>
      <c r="E271" s="1"/>
      <c r="F271" s="1"/>
      <c r="G271" s="1"/>
      <c r="H271" s="1"/>
      <c r="I271" s="1"/>
      <c r="J271" s="1"/>
      <c r="K271" s="1"/>
      <c r="L271" s="1"/>
      <c r="M271" s="1"/>
      <c r="N271" s="1"/>
      <c r="O271" s="1"/>
      <c r="P271" s="1"/>
      <c r="Q271" s="1"/>
      <c r="R271" s="1"/>
      <c r="S271" s="1"/>
      <c r="T271" s="1"/>
      <c r="U271" s="5"/>
      <c r="V271" s="6"/>
      <c r="W271" s="6"/>
      <c r="X271" s="6"/>
      <c r="Y271" s="6"/>
      <c r="Z271" s="6"/>
      <c r="AA271" s="6"/>
      <c r="AB271" s="5"/>
      <c r="AC271" s="174">
        <f>IFERROR(__xludf.DUMMYFUNCTION("""COMPUTED_VALUE"""),45051.66666666667)</f>
        <v>45051.66667</v>
      </c>
      <c r="AD271" s="175">
        <f>IFERROR(__xludf.DUMMYFUNCTION("""COMPUTED_VALUE"""),232.78)</f>
        <v>232.78</v>
      </c>
    </row>
    <row r="272" hidden="1">
      <c r="A272" s="1"/>
      <c r="B272" s="1"/>
      <c r="C272" s="1"/>
      <c r="D272" s="1"/>
      <c r="E272" s="1"/>
      <c r="F272" s="1"/>
      <c r="G272" s="1"/>
      <c r="H272" s="1"/>
      <c r="I272" s="1"/>
      <c r="J272" s="1"/>
      <c r="K272" s="1"/>
      <c r="L272" s="1"/>
      <c r="M272" s="1"/>
      <c r="N272" s="1"/>
      <c r="O272" s="1"/>
      <c r="P272" s="1"/>
      <c r="Q272" s="1"/>
      <c r="R272" s="1"/>
      <c r="S272" s="1"/>
      <c r="T272" s="1"/>
      <c r="U272" s="5"/>
      <c r="V272" s="6"/>
      <c r="W272" s="6"/>
      <c r="X272" s="6"/>
      <c r="Y272" s="6"/>
      <c r="Z272" s="6"/>
      <c r="AA272" s="6"/>
      <c r="AB272" s="5"/>
      <c r="AC272" s="174">
        <f>IFERROR(__xludf.DUMMYFUNCTION("""COMPUTED_VALUE"""),45058.66666666667)</f>
        <v>45058.66667</v>
      </c>
      <c r="AD272" s="175">
        <f>IFERROR(__xludf.DUMMYFUNCTION("""COMPUTED_VALUE"""),233.81)</f>
        <v>233.81</v>
      </c>
    </row>
    <row r="273" hidden="1">
      <c r="A273" s="1"/>
      <c r="B273" s="1"/>
      <c r="C273" s="1"/>
      <c r="D273" s="1"/>
      <c r="E273" s="1"/>
      <c r="F273" s="1"/>
      <c r="G273" s="1"/>
      <c r="H273" s="1"/>
      <c r="I273" s="1"/>
      <c r="J273" s="1"/>
      <c r="K273" s="1"/>
      <c r="L273" s="1"/>
      <c r="M273" s="1"/>
      <c r="N273" s="1"/>
      <c r="O273" s="1"/>
      <c r="P273" s="1"/>
      <c r="Q273" s="1"/>
      <c r="R273" s="1"/>
      <c r="S273" s="1"/>
      <c r="T273" s="1"/>
      <c r="U273" s="5"/>
      <c r="V273" s="6"/>
      <c r="W273" s="6"/>
      <c r="X273" s="6"/>
      <c r="Y273" s="6"/>
      <c r="Z273" s="6"/>
      <c r="AA273" s="6"/>
      <c r="AB273" s="5"/>
      <c r="AC273" s="174">
        <f>IFERROR(__xludf.DUMMYFUNCTION("""COMPUTED_VALUE"""),45065.66666666667)</f>
        <v>45065.66667</v>
      </c>
      <c r="AD273" s="175">
        <f>IFERROR(__xludf.DUMMYFUNCTION("""COMPUTED_VALUE"""),245.64)</f>
        <v>245.64</v>
      </c>
    </row>
    <row r="274" hidden="1">
      <c r="A274" s="1"/>
      <c r="B274" s="1"/>
      <c r="C274" s="1"/>
      <c r="D274" s="1"/>
      <c r="E274" s="1"/>
      <c r="F274" s="1"/>
      <c r="G274" s="1"/>
      <c r="H274" s="1"/>
      <c r="I274" s="1"/>
      <c r="J274" s="1"/>
      <c r="K274" s="1"/>
      <c r="L274" s="1"/>
      <c r="M274" s="1"/>
      <c r="N274" s="1"/>
      <c r="O274" s="1"/>
      <c r="P274" s="1"/>
      <c r="Q274" s="1"/>
      <c r="R274" s="1"/>
      <c r="S274" s="1"/>
      <c r="T274" s="1"/>
      <c r="U274" s="5"/>
      <c r="V274" s="6"/>
      <c r="W274" s="6"/>
      <c r="X274" s="6"/>
      <c r="Y274" s="6"/>
      <c r="Z274" s="6"/>
      <c r="AA274" s="6"/>
      <c r="AB274" s="5"/>
      <c r="AC274" s="174">
        <f>IFERROR(__xludf.DUMMYFUNCTION("""COMPUTED_VALUE"""),45072.66666666667)</f>
        <v>45072.66667</v>
      </c>
      <c r="AD274" s="175">
        <f>IFERROR(__xludf.DUMMYFUNCTION("""COMPUTED_VALUE"""),262.04)</f>
        <v>262.04</v>
      </c>
    </row>
    <row r="275" hidden="1">
      <c r="A275" s="1"/>
      <c r="B275" s="1"/>
      <c r="C275" s="1"/>
      <c r="D275" s="1"/>
      <c r="E275" s="1"/>
      <c r="F275" s="1"/>
      <c r="G275" s="1"/>
      <c r="H275" s="1"/>
      <c r="I275" s="1"/>
      <c r="J275" s="1"/>
      <c r="K275" s="1"/>
      <c r="L275" s="1"/>
      <c r="M275" s="1"/>
      <c r="N275" s="1"/>
      <c r="O275" s="1"/>
      <c r="P275" s="1"/>
      <c r="Q275" s="1"/>
      <c r="R275" s="1"/>
      <c r="S275" s="1"/>
      <c r="T275" s="1"/>
      <c r="U275" s="5"/>
      <c r="V275" s="6"/>
      <c r="W275" s="6"/>
      <c r="X275" s="6"/>
      <c r="Y275" s="6"/>
      <c r="Z275" s="6"/>
      <c r="AA275" s="6"/>
      <c r="AB275" s="5"/>
      <c r="AC275" s="174">
        <f>IFERROR(__xludf.DUMMYFUNCTION("""COMPUTED_VALUE"""),45079.66666666667)</f>
        <v>45079.66667</v>
      </c>
      <c r="AD275" s="175">
        <f>IFERROR(__xludf.DUMMYFUNCTION("""COMPUTED_VALUE"""),272.61)</f>
        <v>272.61</v>
      </c>
    </row>
    <row r="276" hidden="1">
      <c r="A276" s="1"/>
      <c r="B276" s="1"/>
      <c r="C276" s="1"/>
      <c r="D276" s="1"/>
      <c r="E276" s="1"/>
      <c r="F276" s="1"/>
      <c r="G276" s="1"/>
      <c r="H276" s="1"/>
      <c r="I276" s="1"/>
      <c r="J276" s="1"/>
      <c r="K276" s="1"/>
      <c r="L276" s="1"/>
      <c r="M276" s="1"/>
      <c r="N276" s="1"/>
      <c r="O276" s="1"/>
      <c r="P276" s="1"/>
      <c r="Q276" s="1"/>
      <c r="R276" s="1"/>
      <c r="S276" s="1"/>
      <c r="T276" s="1"/>
      <c r="U276" s="5"/>
      <c r="V276" s="6"/>
      <c r="W276" s="6"/>
      <c r="X276" s="6"/>
      <c r="Y276" s="6"/>
      <c r="Z276" s="6"/>
      <c r="AA276" s="6"/>
      <c r="AB276" s="5"/>
      <c r="AC276" s="174">
        <f>IFERROR(__xludf.DUMMYFUNCTION("""COMPUTED_VALUE"""),45086.66666666667)</f>
        <v>45086.66667</v>
      </c>
      <c r="AD276" s="175">
        <f>IFERROR(__xludf.DUMMYFUNCTION("""COMPUTED_VALUE"""),264.95)</f>
        <v>264.95</v>
      </c>
    </row>
    <row r="277" hidden="1">
      <c r="A277" s="1"/>
      <c r="B277" s="1"/>
      <c r="C277" s="1"/>
      <c r="D277" s="1"/>
      <c r="E277" s="1"/>
      <c r="F277" s="1"/>
      <c r="G277" s="1"/>
      <c r="H277" s="1"/>
      <c r="I277" s="1"/>
      <c r="J277" s="1"/>
      <c r="K277" s="1"/>
      <c r="L277" s="1"/>
      <c r="M277" s="1"/>
      <c r="N277" s="1"/>
      <c r="O277" s="1"/>
      <c r="P277" s="1"/>
      <c r="Q277" s="1"/>
      <c r="R277" s="1"/>
      <c r="S277" s="1"/>
      <c r="T277" s="1"/>
      <c r="U277" s="5"/>
      <c r="V277" s="6"/>
      <c r="W277" s="6"/>
      <c r="X277" s="6"/>
      <c r="Y277" s="6"/>
      <c r="Z277" s="6"/>
      <c r="AA277" s="6"/>
      <c r="AB277" s="5"/>
      <c r="AC277" s="174">
        <f>IFERROR(__xludf.DUMMYFUNCTION("""COMPUTED_VALUE"""),45093.66666666667)</f>
        <v>45093.66667</v>
      </c>
      <c r="AD277" s="175">
        <f>IFERROR(__xludf.DUMMYFUNCTION("""COMPUTED_VALUE"""),281.0)</f>
        <v>281</v>
      </c>
    </row>
    <row r="278" hidden="1">
      <c r="A278" s="1"/>
      <c r="B278" s="1"/>
      <c r="C278" s="1"/>
      <c r="D278" s="1"/>
      <c r="E278" s="1"/>
      <c r="F278" s="1"/>
      <c r="G278" s="1"/>
      <c r="H278" s="1"/>
      <c r="I278" s="1"/>
      <c r="J278" s="1"/>
      <c r="K278" s="1"/>
      <c r="L278" s="1"/>
      <c r="M278" s="1"/>
      <c r="N278" s="1"/>
      <c r="O278" s="1"/>
      <c r="P278" s="1"/>
      <c r="Q278" s="1"/>
      <c r="R278" s="1"/>
      <c r="S278" s="1"/>
      <c r="T278" s="1"/>
      <c r="U278" s="5"/>
      <c r="V278" s="6"/>
      <c r="W278" s="6"/>
      <c r="X278" s="6"/>
      <c r="Y278" s="6"/>
      <c r="Z278" s="6"/>
      <c r="AA278" s="6"/>
      <c r="AB278" s="5"/>
      <c r="AC278" s="174">
        <f>IFERROR(__xludf.DUMMYFUNCTION("""COMPUTED_VALUE"""),45100.66666666667)</f>
        <v>45100.66667</v>
      </c>
      <c r="AD278" s="175">
        <f>IFERROR(__xludf.DUMMYFUNCTION("""COMPUTED_VALUE"""),288.73)</f>
        <v>288.73</v>
      </c>
    </row>
    <row r="279" hidden="1">
      <c r="A279" s="1"/>
      <c r="B279" s="1"/>
      <c r="C279" s="1"/>
      <c r="D279" s="1"/>
      <c r="E279" s="1"/>
      <c r="F279" s="1"/>
      <c r="G279" s="1"/>
      <c r="H279" s="1"/>
      <c r="I279" s="1"/>
      <c r="J279" s="1"/>
      <c r="K279" s="1"/>
      <c r="L279" s="1"/>
      <c r="M279" s="1"/>
      <c r="N279" s="1"/>
      <c r="O279" s="1"/>
      <c r="P279" s="1"/>
      <c r="Q279" s="1"/>
      <c r="R279" s="1"/>
      <c r="S279" s="1"/>
      <c r="T279" s="1"/>
      <c r="U279" s="5"/>
      <c r="V279" s="6"/>
      <c r="W279" s="6"/>
      <c r="X279" s="6"/>
      <c r="Y279" s="6"/>
      <c r="Z279" s="6"/>
      <c r="AA279" s="6"/>
      <c r="AB279" s="5"/>
      <c r="AC279" s="174">
        <f>IFERROR(__xludf.DUMMYFUNCTION("""COMPUTED_VALUE"""),45107.66666666667)</f>
        <v>45107.66667</v>
      </c>
      <c r="AD279" s="175">
        <f>IFERROR(__xludf.DUMMYFUNCTION("""COMPUTED_VALUE"""),286.98)</f>
        <v>286.98</v>
      </c>
    </row>
    <row r="280" hidden="1">
      <c r="A280" s="1"/>
      <c r="B280" s="1"/>
      <c r="C280" s="1"/>
      <c r="D280" s="1"/>
      <c r="E280" s="1"/>
      <c r="F280" s="1"/>
      <c r="G280" s="1"/>
      <c r="H280" s="1"/>
      <c r="I280" s="1"/>
      <c r="J280" s="1"/>
      <c r="K280" s="1"/>
      <c r="L280" s="1"/>
      <c r="M280" s="1"/>
      <c r="N280" s="1"/>
      <c r="O280" s="1"/>
      <c r="P280" s="1"/>
      <c r="Q280" s="1"/>
      <c r="R280" s="1"/>
      <c r="S280" s="1"/>
      <c r="T280" s="1"/>
      <c r="U280" s="5"/>
      <c r="V280" s="6"/>
      <c r="W280" s="6"/>
      <c r="X280" s="6"/>
      <c r="Y280" s="6"/>
      <c r="Z280" s="6"/>
      <c r="AA280" s="6"/>
      <c r="AB280" s="5"/>
      <c r="AC280" s="174">
        <f>IFERROR(__xludf.DUMMYFUNCTION("""COMPUTED_VALUE"""),45114.66666666667)</f>
        <v>45114.66667</v>
      </c>
      <c r="AD280" s="175">
        <f>IFERROR(__xludf.DUMMYFUNCTION("""COMPUTED_VALUE"""),290.53)</f>
        <v>290.53</v>
      </c>
    </row>
    <row r="281" hidden="1">
      <c r="A281" s="1"/>
      <c r="B281" s="1"/>
      <c r="C281" s="1"/>
      <c r="D281" s="1"/>
      <c r="E281" s="1"/>
      <c r="F281" s="1"/>
      <c r="G281" s="1"/>
      <c r="H281" s="1"/>
      <c r="I281" s="1"/>
      <c r="J281" s="1"/>
      <c r="K281" s="1"/>
      <c r="L281" s="1"/>
      <c r="M281" s="1"/>
      <c r="N281" s="1"/>
      <c r="O281" s="1"/>
      <c r="P281" s="1"/>
      <c r="Q281" s="1"/>
      <c r="R281" s="1"/>
      <c r="S281" s="1"/>
      <c r="T281" s="1"/>
      <c r="U281" s="5"/>
      <c r="V281" s="6"/>
      <c r="W281" s="6"/>
      <c r="X281" s="6"/>
      <c r="Y281" s="6"/>
      <c r="Z281" s="6"/>
      <c r="AA281" s="6"/>
      <c r="AB281" s="5"/>
      <c r="AC281" s="174">
        <f>IFERROR(__xludf.DUMMYFUNCTION("""COMPUTED_VALUE"""),45121.66666666667)</f>
        <v>45121.66667</v>
      </c>
      <c r="AD281" s="175">
        <f>IFERROR(__xludf.DUMMYFUNCTION("""COMPUTED_VALUE"""),308.87)</f>
        <v>308.87</v>
      </c>
    </row>
    <row r="282" hidden="1">
      <c r="A282" s="1"/>
      <c r="B282" s="1"/>
      <c r="C282" s="1"/>
      <c r="D282" s="1"/>
      <c r="E282" s="1"/>
      <c r="F282" s="1"/>
      <c r="G282" s="1"/>
      <c r="H282" s="1"/>
      <c r="I282" s="1"/>
      <c r="J282" s="1"/>
      <c r="K282" s="1"/>
      <c r="L282" s="1"/>
      <c r="M282" s="1"/>
      <c r="N282" s="1"/>
      <c r="O282" s="1"/>
      <c r="P282" s="1"/>
      <c r="Q282" s="1"/>
      <c r="R282" s="1"/>
      <c r="S282" s="1"/>
      <c r="T282" s="1"/>
      <c r="U282" s="5"/>
      <c r="V282" s="6"/>
      <c r="W282" s="6"/>
      <c r="X282" s="6"/>
      <c r="Y282" s="6"/>
      <c r="Z282" s="6"/>
      <c r="AA282" s="6"/>
      <c r="AB282" s="5"/>
      <c r="AC282" s="174">
        <f>IFERROR(__xludf.DUMMYFUNCTION("""COMPUTED_VALUE"""),45128.66666666667)</f>
        <v>45128.66667</v>
      </c>
      <c r="AD282" s="175">
        <f>IFERROR(__xludf.DUMMYFUNCTION("""COMPUTED_VALUE"""),294.26)</f>
        <v>294.26</v>
      </c>
    </row>
    <row r="283" hidden="1">
      <c r="A283" s="1"/>
      <c r="B283" s="1"/>
      <c r="C283" s="1"/>
      <c r="D283" s="1"/>
      <c r="E283" s="1"/>
      <c r="F283" s="1"/>
      <c r="G283" s="1"/>
      <c r="H283" s="1"/>
      <c r="I283" s="1"/>
      <c r="J283" s="1"/>
      <c r="K283" s="1"/>
      <c r="L283" s="1"/>
      <c r="M283" s="1"/>
      <c r="N283" s="1"/>
      <c r="O283" s="1"/>
      <c r="P283" s="1"/>
      <c r="Q283" s="1"/>
      <c r="R283" s="1"/>
      <c r="S283" s="1"/>
      <c r="T283" s="1"/>
      <c r="U283" s="5"/>
      <c r="V283" s="6"/>
      <c r="W283" s="6"/>
      <c r="X283" s="6"/>
      <c r="Y283" s="6"/>
      <c r="Z283" s="6"/>
      <c r="AA283" s="6"/>
      <c r="AB283" s="5"/>
      <c r="AC283" s="174">
        <f>IFERROR(__xludf.DUMMYFUNCTION("""COMPUTED_VALUE"""),45135.66666666667)</f>
        <v>45135.66667</v>
      </c>
      <c r="AD283" s="175">
        <f>IFERROR(__xludf.DUMMYFUNCTION("""COMPUTED_VALUE"""),325.48)</f>
        <v>325.48</v>
      </c>
    </row>
    <row r="284" hidden="1">
      <c r="A284" s="1"/>
      <c r="B284" s="1"/>
      <c r="C284" s="1"/>
      <c r="D284" s="1"/>
      <c r="E284" s="1"/>
      <c r="F284" s="1"/>
      <c r="G284" s="1"/>
      <c r="H284" s="1"/>
      <c r="I284" s="1"/>
      <c r="J284" s="1"/>
      <c r="K284" s="1"/>
      <c r="L284" s="1"/>
      <c r="M284" s="1"/>
      <c r="N284" s="1"/>
      <c r="O284" s="1"/>
      <c r="P284" s="1"/>
      <c r="Q284" s="1"/>
      <c r="R284" s="1"/>
      <c r="S284" s="1"/>
      <c r="T284" s="1"/>
      <c r="U284" s="5"/>
      <c r="V284" s="6"/>
      <c r="W284" s="6"/>
      <c r="X284" s="6"/>
      <c r="Y284" s="6"/>
      <c r="Z284" s="6"/>
      <c r="AA284" s="6"/>
      <c r="AB284" s="5"/>
      <c r="AC284" s="174">
        <f>IFERROR(__xludf.DUMMYFUNCTION("""COMPUTED_VALUE"""),45142.66666666667)</f>
        <v>45142.66667</v>
      </c>
      <c r="AD284" s="175">
        <f>IFERROR(__xludf.DUMMYFUNCTION("""COMPUTED_VALUE"""),310.73)</f>
        <v>310.73</v>
      </c>
    </row>
    <row r="285" hidden="1">
      <c r="A285" s="1"/>
      <c r="B285" s="1"/>
      <c r="C285" s="1"/>
      <c r="D285" s="1"/>
      <c r="E285" s="1"/>
      <c r="F285" s="1"/>
      <c r="G285" s="1"/>
      <c r="H285" s="1"/>
      <c r="I285" s="1"/>
      <c r="J285" s="1"/>
      <c r="K285" s="1"/>
      <c r="L285" s="1"/>
      <c r="M285" s="1"/>
      <c r="N285" s="1"/>
      <c r="O285" s="1"/>
      <c r="P285" s="1"/>
      <c r="Q285" s="1"/>
      <c r="R285" s="1"/>
      <c r="S285" s="1"/>
      <c r="T285" s="1"/>
      <c r="U285" s="5"/>
      <c r="V285" s="6"/>
      <c r="W285" s="6"/>
      <c r="X285" s="6"/>
      <c r="Y285" s="6"/>
      <c r="Z285" s="6"/>
      <c r="AA285" s="6"/>
      <c r="AB285" s="5"/>
      <c r="AC285" s="174">
        <f>IFERROR(__xludf.DUMMYFUNCTION("""COMPUTED_VALUE"""),45149.66666666667)</f>
        <v>45149.66667</v>
      </c>
      <c r="AD285" s="175">
        <f>IFERROR(__xludf.DUMMYFUNCTION("""COMPUTED_VALUE"""),301.64)</f>
        <v>301.64</v>
      </c>
    </row>
    <row r="286" hidden="1">
      <c r="A286" s="1"/>
      <c r="B286" s="1"/>
      <c r="C286" s="1"/>
      <c r="D286" s="1"/>
      <c r="E286" s="1"/>
      <c r="F286" s="1"/>
      <c r="G286" s="1"/>
      <c r="H286" s="1"/>
      <c r="I286" s="1"/>
      <c r="J286" s="1"/>
      <c r="K286" s="1"/>
      <c r="L286" s="1"/>
      <c r="M286" s="1"/>
      <c r="N286" s="1"/>
      <c r="O286" s="1"/>
      <c r="P286" s="1"/>
      <c r="Q286" s="1"/>
      <c r="R286" s="1"/>
      <c r="S286" s="1"/>
      <c r="T286" s="1"/>
      <c r="U286" s="5"/>
      <c r="V286" s="6"/>
      <c r="W286" s="6"/>
      <c r="X286" s="6"/>
      <c r="Y286" s="6"/>
      <c r="Z286" s="6"/>
      <c r="AA286" s="6"/>
      <c r="AB286" s="5"/>
      <c r="AC286" s="174">
        <f>IFERROR(__xludf.DUMMYFUNCTION("""COMPUTED_VALUE"""),45156.66666666667)</f>
        <v>45156.66667</v>
      </c>
      <c r="AD286" s="175">
        <f>IFERROR(__xludf.DUMMYFUNCTION("""COMPUTED_VALUE"""),283.25)</f>
        <v>283.25</v>
      </c>
    </row>
    <row r="287" hidden="1">
      <c r="A287" s="1"/>
      <c r="B287" s="1"/>
      <c r="C287" s="1"/>
      <c r="D287" s="1"/>
      <c r="E287" s="1"/>
      <c r="F287" s="1"/>
      <c r="G287" s="1"/>
      <c r="H287" s="1"/>
      <c r="I287" s="1"/>
      <c r="J287" s="1"/>
      <c r="K287" s="1"/>
      <c r="L287" s="1"/>
      <c r="M287" s="1"/>
      <c r="N287" s="1"/>
      <c r="O287" s="1"/>
      <c r="P287" s="1"/>
      <c r="Q287" s="1"/>
      <c r="R287" s="1"/>
      <c r="S287" s="1"/>
      <c r="T287" s="1"/>
      <c r="U287" s="5"/>
      <c r="V287" s="6"/>
      <c r="W287" s="6"/>
      <c r="X287" s="6"/>
      <c r="Y287" s="6"/>
      <c r="Z287" s="6"/>
      <c r="AA287" s="6"/>
      <c r="AB287" s="5"/>
      <c r="AC287" s="174">
        <f>IFERROR(__xludf.DUMMYFUNCTION("""COMPUTED_VALUE"""),45163.66666666667)</f>
        <v>45163.66667</v>
      </c>
      <c r="AD287" s="175">
        <f>IFERROR(__xludf.DUMMYFUNCTION("""COMPUTED_VALUE"""),285.5)</f>
        <v>285.5</v>
      </c>
    </row>
    <row r="288" hidden="1">
      <c r="A288" s="1"/>
      <c r="B288" s="1"/>
      <c r="C288" s="1"/>
      <c r="D288" s="1"/>
      <c r="E288" s="1"/>
      <c r="F288" s="1"/>
      <c r="G288" s="1"/>
      <c r="H288" s="1"/>
      <c r="I288" s="1"/>
      <c r="J288" s="1"/>
      <c r="K288" s="1"/>
      <c r="L288" s="1"/>
      <c r="M288" s="1"/>
      <c r="N288" s="1"/>
      <c r="O288" s="1"/>
      <c r="P288" s="1"/>
      <c r="Q288" s="1"/>
      <c r="R288" s="1"/>
      <c r="S288" s="1"/>
      <c r="T288" s="1"/>
      <c r="U288" s="5"/>
      <c r="V288" s="6"/>
      <c r="W288" s="6"/>
      <c r="X288" s="6"/>
      <c r="Y288" s="6"/>
      <c r="Z288" s="6"/>
      <c r="AA288" s="6"/>
      <c r="AB288" s="5"/>
      <c r="AC288" s="174">
        <f>IFERROR(__xludf.DUMMYFUNCTION("""COMPUTED_VALUE"""),45170.66666666667)</f>
        <v>45170.66667</v>
      </c>
      <c r="AD288" s="175">
        <f>IFERROR(__xludf.DUMMYFUNCTION("""COMPUTED_VALUE"""),296.38)</f>
        <v>296.38</v>
      </c>
    </row>
    <row r="289" hidden="1">
      <c r="A289" s="1"/>
      <c r="B289" s="1"/>
      <c r="C289" s="1"/>
      <c r="D289" s="1"/>
      <c r="E289" s="1"/>
      <c r="F289" s="1"/>
      <c r="G289" s="1"/>
      <c r="H289" s="1"/>
      <c r="I289" s="1"/>
      <c r="J289" s="1"/>
      <c r="K289" s="1"/>
      <c r="L289" s="1"/>
      <c r="M289" s="1"/>
      <c r="N289" s="1"/>
      <c r="O289" s="1"/>
      <c r="P289" s="1"/>
      <c r="Q289" s="1"/>
      <c r="R289" s="1"/>
      <c r="S289" s="1"/>
      <c r="T289" s="1"/>
      <c r="U289" s="5"/>
      <c r="V289" s="6"/>
      <c r="W289" s="6"/>
      <c r="X289" s="6"/>
      <c r="Y289" s="6"/>
      <c r="Z289" s="6"/>
      <c r="AA289" s="6"/>
      <c r="AB289" s="5"/>
      <c r="AC289" s="174">
        <f>IFERROR(__xludf.DUMMYFUNCTION("""COMPUTED_VALUE"""),45177.66666666667)</f>
        <v>45177.66667</v>
      </c>
      <c r="AD289" s="175">
        <f>IFERROR(__xludf.DUMMYFUNCTION("""COMPUTED_VALUE"""),297.89)</f>
        <v>297.89</v>
      </c>
    </row>
    <row r="290" hidden="1">
      <c r="A290" s="1"/>
      <c r="B290" s="1"/>
      <c r="C290" s="1"/>
      <c r="D290" s="1"/>
      <c r="E290" s="1"/>
      <c r="F290" s="1"/>
      <c r="G290" s="1"/>
      <c r="H290" s="1"/>
      <c r="I290" s="1"/>
      <c r="J290" s="1"/>
      <c r="K290" s="1"/>
      <c r="L290" s="1"/>
      <c r="M290" s="1"/>
      <c r="N290" s="1"/>
      <c r="O290" s="1"/>
      <c r="P290" s="1"/>
      <c r="Q290" s="1"/>
      <c r="R290" s="1"/>
      <c r="S290" s="1"/>
      <c r="T290" s="1"/>
      <c r="U290" s="5"/>
      <c r="V290" s="6"/>
      <c r="W290" s="6"/>
      <c r="X290" s="6"/>
      <c r="Y290" s="6"/>
      <c r="Z290" s="6"/>
      <c r="AA290" s="6"/>
      <c r="AB290" s="5"/>
      <c r="AC290" s="174">
        <f>IFERROR(__xludf.DUMMYFUNCTION("""COMPUTED_VALUE"""),45184.66666666667)</f>
        <v>45184.66667</v>
      </c>
      <c r="AD290" s="175">
        <f>IFERROR(__xludf.DUMMYFUNCTION("""COMPUTED_VALUE"""),300.31)</f>
        <v>300.31</v>
      </c>
    </row>
    <row r="291" hidden="1">
      <c r="A291" s="1"/>
      <c r="B291" s="1"/>
      <c r="C291" s="1"/>
      <c r="D291" s="1"/>
      <c r="E291" s="1"/>
      <c r="F291" s="1"/>
      <c r="G291" s="1"/>
      <c r="H291" s="1"/>
      <c r="I291" s="1"/>
      <c r="J291" s="1"/>
      <c r="K291" s="1"/>
      <c r="L291" s="1"/>
      <c r="M291" s="1"/>
      <c r="N291" s="1"/>
      <c r="O291" s="1"/>
      <c r="P291" s="1"/>
      <c r="Q291" s="1"/>
      <c r="R291" s="1"/>
      <c r="S291" s="1"/>
      <c r="T291" s="1"/>
      <c r="U291" s="5"/>
      <c r="V291" s="6"/>
      <c r="W291" s="6"/>
      <c r="X291" s="6"/>
      <c r="Y291" s="6"/>
      <c r="Z291" s="6"/>
      <c r="AA291" s="6"/>
      <c r="AB291" s="5"/>
      <c r="AC291" s="174">
        <f>IFERROR(__xludf.DUMMYFUNCTION("""COMPUTED_VALUE"""),45191.66666666667)</f>
        <v>45191.66667</v>
      </c>
      <c r="AD291" s="175">
        <f>IFERROR(__xludf.DUMMYFUNCTION("""COMPUTED_VALUE"""),299.08)</f>
        <v>299.08</v>
      </c>
    </row>
    <row r="292" hidden="1">
      <c r="A292" s="1"/>
      <c r="B292" s="1"/>
      <c r="C292" s="1"/>
      <c r="D292" s="1"/>
      <c r="E292" s="1"/>
      <c r="F292" s="1"/>
      <c r="G292" s="1"/>
      <c r="H292" s="1"/>
      <c r="I292" s="1"/>
      <c r="J292" s="1"/>
      <c r="K292" s="1"/>
      <c r="L292" s="1"/>
      <c r="M292" s="1"/>
      <c r="N292" s="1"/>
      <c r="O292" s="1"/>
      <c r="P292" s="1"/>
      <c r="Q292" s="1"/>
      <c r="R292" s="1"/>
      <c r="S292" s="1"/>
      <c r="T292" s="1"/>
      <c r="U292" s="5"/>
      <c r="V292" s="6"/>
      <c r="W292" s="6"/>
      <c r="X292" s="6"/>
      <c r="Y292" s="6"/>
      <c r="Z292" s="6"/>
      <c r="AA292" s="6"/>
      <c r="AB292" s="5"/>
      <c r="AC292" s="174">
        <f>IFERROR(__xludf.DUMMYFUNCTION("""COMPUTED_VALUE"""),45198.66666666667)</f>
        <v>45198.66667</v>
      </c>
      <c r="AD292" s="175">
        <f>IFERROR(__xludf.DUMMYFUNCTION("""COMPUTED_VALUE"""),300.21)</f>
        <v>300.21</v>
      </c>
    </row>
    <row r="293" hidden="1">
      <c r="A293" s="1"/>
      <c r="B293" s="1"/>
      <c r="C293" s="1"/>
      <c r="D293" s="1"/>
      <c r="E293" s="1"/>
      <c r="F293" s="1"/>
      <c r="G293" s="1"/>
      <c r="H293" s="1"/>
      <c r="I293" s="1"/>
      <c r="J293" s="1"/>
      <c r="K293" s="1"/>
      <c r="L293" s="1"/>
      <c r="M293" s="1"/>
      <c r="N293" s="1"/>
      <c r="O293" s="1"/>
      <c r="P293" s="1"/>
      <c r="Q293" s="1"/>
      <c r="R293" s="1"/>
      <c r="S293" s="1"/>
      <c r="T293" s="1"/>
      <c r="U293" s="5"/>
      <c r="V293" s="6"/>
      <c r="W293" s="6"/>
      <c r="X293" s="6"/>
      <c r="Y293" s="6"/>
      <c r="Z293" s="6"/>
      <c r="AA293" s="6"/>
      <c r="AB293" s="5"/>
      <c r="AC293" s="174">
        <f>IFERROR(__xludf.DUMMYFUNCTION("""COMPUTED_VALUE"""),45205.66666666667)</f>
        <v>45205.66667</v>
      </c>
      <c r="AD293" s="175">
        <f>IFERROR(__xludf.DUMMYFUNCTION("""COMPUTED_VALUE"""),315.43)</f>
        <v>315.43</v>
      </c>
    </row>
    <row r="294" hidden="1">
      <c r="A294" s="1"/>
      <c r="B294" s="1"/>
      <c r="C294" s="1"/>
      <c r="D294" s="1"/>
      <c r="E294" s="1"/>
      <c r="F294" s="1"/>
      <c r="G294" s="1"/>
      <c r="H294" s="1"/>
      <c r="I294" s="1"/>
      <c r="J294" s="1"/>
      <c r="K294" s="1"/>
      <c r="L294" s="1"/>
      <c r="M294" s="1"/>
      <c r="N294" s="1"/>
      <c r="O294" s="1"/>
      <c r="P294" s="1"/>
      <c r="Q294" s="1"/>
      <c r="R294" s="1"/>
      <c r="S294" s="1"/>
      <c r="T294" s="1"/>
      <c r="U294" s="5"/>
      <c r="V294" s="6"/>
      <c r="W294" s="6"/>
      <c r="X294" s="6"/>
      <c r="Y294" s="6"/>
      <c r="Z294" s="6"/>
      <c r="AA294" s="6"/>
      <c r="AB294" s="5"/>
      <c r="AC294" s="174">
        <f>IFERROR(__xludf.DUMMYFUNCTION("""COMPUTED_VALUE"""),45212.66666666667)</f>
        <v>45212.66667</v>
      </c>
      <c r="AD294" s="175">
        <f>IFERROR(__xludf.DUMMYFUNCTION("""COMPUTED_VALUE"""),314.69)</f>
        <v>314.69</v>
      </c>
    </row>
    <row r="295" hidden="1">
      <c r="A295" s="1"/>
      <c r="B295" s="1"/>
      <c r="C295" s="1"/>
      <c r="D295" s="1"/>
      <c r="E295" s="1"/>
      <c r="F295" s="1"/>
      <c r="G295" s="1"/>
      <c r="H295" s="1"/>
      <c r="I295" s="1"/>
      <c r="J295" s="1"/>
      <c r="K295" s="1"/>
      <c r="L295" s="1"/>
      <c r="M295" s="1"/>
      <c r="N295" s="1"/>
      <c r="O295" s="1"/>
      <c r="P295" s="1"/>
      <c r="Q295" s="1"/>
      <c r="R295" s="1"/>
      <c r="S295" s="1"/>
      <c r="T295" s="1"/>
      <c r="U295" s="5"/>
      <c r="V295" s="6"/>
      <c r="W295" s="6"/>
      <c r="X295" s="6"/>
      <c r="Y295" s="6"/>
      <c r="Z295" s="6"/>
      <c r="AA295" s="6"/>
      <c r="AB295" s="5"/>
      <c r="AC295" s="174">
        <f>IFERROR(__xludf.DUMMYFUNCTION("""COMPUTED_VALUE"""),45219.66666666667)</f>
        <v>45219.66667</v>
      </c>
      <c r="AD295" s="175">
        <f>IFERROR(__xludf.DUMMYFUNCTION("""COMPUTED_VALUE"""),308.65)</f>
        <v>308.65</v>
      </c>
    </row>
    <row r="296" hidden="1">
      <c r="A296" s="1"/>
      <c r="B296" s="1"/>
      <c r="C296" s="1"/>
      <c r="D296" s="1"/>
      <c r="E296" s="1"/>
      <c r="F296" s="1"/>
      <c r="G296" s="1"/>
      <c r="H296" s="1"/>
      <c r="I296" s="1"/>
      <c r="J296" s="1"/>
      <c r="K296" s="1"/>
      <c r="L296" s="1"/>
      <c r="M296" s="1"/>
      <c r="N296" s="1"/>
      <c r="O296" s="1"/>
      <c r="P296" s="1"/>
      <c r="Q296" s="1"/>
      <c r="R296" s="1"/>
      <c r="S296" s="1"/>
      <c r="T296" s="1"/>
      <c r="U296" s="5"/>
      <c r="V296" s="6"/>
      <c r="W296" s="6"/>
      <c r="X296" s="6"/>
      <c r="Y296" s="6"/>
      <c r="Z296" s="6"/>
      <c r="AA296" s="6"/>
      <c r="AB296" s="5"/>
      <c r="AC296" s="174">
        <f>IFERROR(__xludf.DUMMYFUNCTION("""COMPUTED_VALUE"""),45226.66666666667)</f>
        <v>45226.66667</v>
      </c>
      <c r="AD296" s="175">
        <f>IFERROR(__xludf.DUMMYFUNCTION("""COMPUTED_VALUE"""),296.73)</f>
        <v>296.73</v>
      </c>
    </row>
    <row r="297" hidden="1">
      <c r="A297" s="1"/>
      <c r="B297" s="1"/>
      <c r="C297" s="1"/>
      <c r="D297" s="1"/>
      <c r="E297" s="1"/>
      <c r="F297" s="1"/>
      <c r="G297" s="1"/>
      <c r="H297" s="1"/>
      <c r="I297" s="1"/>
      <c r="J297" s="1"/>
      <c r="K297" s="1"/>
      <c r="L297" s="1"/>
      <c r="M297" s="1"/>
      <c r="N297" s="1"/>
      <c r="O297" s="1"/>
      <c r="P297" s="1"/>
      <c r="Q297" s="1"/>
      <c r="R297" s="1"/>
      <c r="S297" s="1"/>
      <c r="T297" s="1"/>
      <c r="U297" s="5"/>
      <c r="V297" s="6"/>
      <c r="W297" s="6"/>
      <c r="X297" s="6"/>
      <c r="Y297" s="6"/>
      <c r="Z297" s="6"/>
      <c r="AA297" s="6"/>
      <c r="AB297" s="5"/>
      <c r="AC297" s="174">
        <f>IFERROR(__xludf.DUMMYFUNCTION("""COMPUTED_VALUE"""),45233.66666666667)</f>
        <v>45233.66667</v>
      </c>
      <c r="AD297" s="175">
        <f>IFERROR(__xludf.DUMMYFUNCTION("""COMPUTED_VALUE"""),314.6)</f>
        <v>314.6</v>
      </c>
    </row>
    <row r="298" hidden="1">
      <c r="A298" s="1"/>
      <c r="B298" s="1"/>
      <c r="C298" s="1"/>
      <c r="D298" s="1"/>
      <c r="E298" s="1"/>
      <c r="F298" s="1"/>
      <c r="G298" s="1"/>
      <c r="H298" s="1"/>
      <c r="I298" s="1"/>
      <c r="J298" s="1"/>
      <c r="K298" s="1"/>
      <c r="L298" s="1"/>
      <c r="M298" s="1"/>
      <c r="N298" s="1"/>
      <c r="O298" s="1"/>
      <c r="P298" s="1"/>
      <c r="Q298" s="1"/>
      <c r="R298" s="1"/>
      <c r="S298" s="1"/>
      <c r="T298" s="1"/>
      <c r="U298" s="5"/>
      <c r="V298" s="6"/>
      <c r="W298" s="6"/>
      <c r="X298" s="6"/>
      <c r="Y298" s="6"/>
      <c r="Z298" s="6"/>
      <c r="AA298" s="6"/>
      <c r="AB298" s="5"/>
      <c r="AC298" s="174">
        <f>IFERROR(__xludf.DUMMYFUNCTION("""COMPUTED_VALUE"""),45240.66666666667)</f>
        <v>45240.66667</v>
      </c>
      <c r="AD298" s="175">
        <f>IFERROR(__xludf.DUMMYFUNCTION("""COMPUTED_VALUE"""),328.77)</f>
        <v>328.77</v>
      </c>
    </row>
    <row r="299" hidden="1">
      <c r="A299" s="1"/>
      <c r="B299" s="1"/>
      <c r="C299" s="1"/>
      <c r="D299" s="1"/>
      <c r="E299" s="1"/>
      <c r="F299" s="1"/>
      <c r="G299" s="1"/>
      <c r="H299" s="1"/>
      <c r="I299" s="1"/>
      <c r="J299" s="1"/>
      <c r="K299" s="1"/>
      <c r="L299" s="1"/>
      <c r="M299" s="1"/>
      <c r="N299" s="1"/>
      <c r="O299" s="1"/>
      <c r="P299" s="1"/>
      <c r="Q299" s="1"/>
      <c r="R299" s="1"/>
      <c r="S299" s="1"/>
      <c r="T299" s="1"/>
      <c r="U299" s="5"/>
      <c r="V299" s="6"/>
      <c r="W299" s="6"/>
      <c r="X299" s="6"/>
      <c r="Y299" s="6"/>
      <c r="Z299" s="6"/>
      <c r="AA299" s="6"/>
      <c r="AB299" s="5"/>
      <c r="AC299" s="174">
        <f>IFERROR(__xludf.DUMMYFUNCTION("""COMPUTED_VALUE"""),45247.66666666667)</f>
        <v>45247.66667</v>
      </c>
      <c r="AD299" s="175">
        <f>IFERROR(__xludf.DUMMYFUNCTION("""COMPUTED_VALUE"""),335.04)</f>
        <v>335.04</v>
      </c>
    </row>
    <row r="300" hidden="1">
      <c r="A300" s="1"/>
      <c r="B300" s="1"/>
      <c r="C300" s="1"/>
      <c r="D300" s="1"/>
      <c r="E300" s="1"/>
      <c r="F300" s="1"/>
      <c r="G300" s="1"/>
      <c r="H300" s="1"/>
      <c r="I300" s="1"/>
      <c r="J300" s="1"/>
      <c r="K300" s="1"/>
      <c r="L300" s="1"/>
      <c r="M300" s="1"/>
      <c r="N300" s="1"/>
      <c r="O300" s="1"/>
      <c r="P300" s="1"/>
      <c r="Q300" s="1"/>
      <c r="R300" s="1"/>
      <c r="S300" s="1"/>
      <c r="T300" s="1"/>
      <c r="U300" s="5"/>
      <c r="V300" s="6"/>
      <c r="W300" s="6"/>
      <c r="X300" s="6"/>
      <c r="Y300" s="6"/>
      <c r="Z300" s="6"/>
      <c r="AA300" s="6"/>
      <c r="AB300" s="5"/>
      <c r="AC300" s="174">
        <f>IFERROR(__xludf.DUMMYFUNCTION("""COMPUTED_VALUE"""),45254.54513888889)</f>
        <v>45254.54514</v>
      </c>
      <c r="AD300" s="175">
        <f>IFERROR(__xludf.DUMMYFUNCTION("""COMPUTED_VALUE"""),338.23)</f>
        <v>338.23</v>
      </c>
    </row>
    <row r="301" hidden="1">
      <c r="A301" s="1"/>
      <c r="B301" s="1"/>
      <c r="C301" s="1"/>
      <c r="D301" s="1"/>
      <c r="E301" s="1"/>
      <c r="F301" s="1"/>
      <c r="G301" s="1"/>
      <c r="H301" s="1"/>
      <c r="I301" s="1"/>
      <c r="J301" s="1"/>
      <c r="K301" s="1"/>
      <c r="L301" s="1"/>
      <c r="M301" s="1"/>
      <c r="N301" s="1"/>
      <c r="O301" s="1"/>
      <c r="P301" s="1"/>
      <c r="Q301" s="1"/>
      <c r="R301" s="1"/>
      <c r="S301" s="1"/>
      <c r="T301" s="1"/>
      <c r="U301" s="5"/>
      <c r="V301" s="6"/>
      <c r="W301" s="6"/>
      <c r="X301" s="6"/>
      <c r="Y301" s="6"/>
      <c r="Z301" s="6"/>
      <c r="AA301" s="6"/>
      <c r="AB301" s="5"/>
      <c r="AC301" s="174">
        <f>IFERROR(__xludf.DUMMYFUNCTION("""COMPUTED_VALUE"""),45261.66666666667)</f>
        <v>45261.66667</v>
      </c>
      <c r="AD301" s="175">
        <f>IFERROR(__xludf.DUMMYFUNCTION("""COMPUTED_VALUE"""),324.82)</f>
        <v>324.82</v>
      </c>
    </row>
    <row r="302" hidden="1">
      <c r="A302" s="1"/>
      <c r="B302" s="1"/>
      <c r="C302" s="1"/>
      <c r="D302" s="1"/>
      <c r="E302" s="1"/>
      <c r="F302" s="1"/>
      <c r="G302" s="1"/>
      <c r="H302" s="1"/>
      <c r="I302" s="1"/>
      <c r="J302" s="1"/>
      <c r="K302" s="1"/>
      <c r="L302" s="1"/>
      <c r="M302" s="1"/>
      <c r="N302" s="1"/>
      <c r="O302" s="1"/>
      <c r="P302" s="1"/>
      <c r="Q302" s="1"/>
      <c r="R302" s="1"/>
      <c r="S302" s="1"/>
      <c r="T302" s="1"/>
      <c r="U302" s="5"/>
      <c r="V302" s="6"/>
      <c r="W302" s="6"/>
      <c r="X302" s="6"/>
      <c r="Y302" s="6"/>
      <c r="Z302" s="6"/>
      <c r="AA302" s="6"/>
      <c r="AB302" s="5"/>
      <c r="AC302" s="174">
        <f>IFERROR(__xludf.DUMMYFUNCTION("""COMPUTED_VALUE"""),45268.66666666667)</f>
        <v>45268.66667</v>
      </c>
      <c r="AD302" s="175">
        <f>IFERROR(__xludf.DUMMYFUNCTION("""COMPUTED_VALUE"""),332.75)</f>
        <v>332.75</v>
      </c>
    </row>
    <row r="303" hidden="1">
      <c r="A303" s="1"/>
      <c r="B303" s="1"/>
      <c r="C303" s="1"/>
      <c r="D303" s="1"/>
      <c r="E303" s="1"/>
      <c r="F303" s="1"/>
      <c r="G303" s="1"/>
      <c r="H303" s="1"/>
      <c r="I303" s="1"/>
      <c r="J303" s="1"/>
      <c r="K303" s="1"/>
      <c r="L303" s="1"/>
      <c r="M303" s="1"/>
      <c r="N303" s="1"/>
      <c r="O303" s="1"/>
      <c r="P303" s="1"/>
      <c r="Q303" s="1"/>
      <c r="R303" s="1"/>
      <c r="S303" s="1"/>
      <c r="T303" s="1"/>
      <c r="U303" s="5"/>
      <c r="V303" s="6"/>
      <c r="W303" s="6"/>
      <c r="X303" s="6"/>
      <c r="Y303" s="6"/>
      <c r="Z303" s="6"/>
      <c r="AA303" s="6"/>
      <c r="AB303" s="5"/>
      <c r="AC303" s="174">
        <f>IFERROR(__xludf.DUMMYFUNCTION("""COMPUTED_VALUE"""),45275.66666666667)</f>
        <v>45275.66667</v>
      </c>
      <c r="AD303" s="175">
        <f>IFERROR(__xludf.DUMMYFUNCTION("""COMPUTED_VALUE"""),334.92)</f>
        <v>334.92</v>
      </c>
    </row>
    <row r="304" hidden="1">
      <c r="A304" s="1"/>
      <c r="B304" s="1"/>
      <c r="C304" s="1"/>
      <c r="D304" s="1"/>
      <c r="E304" s="1"/>
      <c r="F304" s="1"/>
      <c r="G304" s="1"/>
      <c r="H304" s="1"/>
      <c r="I304" s="1"/>
      <c r="J304" s="1"/>
      <c r="K304" s="1"/>
      <c r="L304" s="1"/>
      <c r="M304" s="1"/>
      <c r="N304" s="1"/>
      <c r="O304" s="1"/>
      <c r="P304" s="1"/>
      <c r="Q304" s="1"/>
      <c r="R304" s="1"/>
      <c r="S304" s="1"/>
      <c r="T304" s="1"/>
      <c r="U304" s="5"/>
      <c r="V304" s="6"/>
      <c r="W304" s="6"/>
      <c r="X304" s="6"/>
      <c r="Y304" s="6"/>
      <c r="Z304" s="6"/>
      <c r="AA304" s="6"/>
      <c r="AB304" s="5"/>
      <c r="AC304" s="174">
        <f>IFERROR(__xludf.DUMMYFUNCTION("""COMPUTED_VALUE"""),45282.66666666667)</f>
        <v>45282.66667</v>
      </c>
      <c r="AD304" s="175">
        <f>IFERROR(__xludf.DUMMYFUNCTION("""COMPUTED_VALUE"""),353.39)</f>
        <v>353.39</v>
      </c>
    </row>
    <row r="305" hidden="1">
      <c r="A305" s="1"/>
      <c r="B305" s="1"/>
      <c r="C305" s="1"/>
      <c r="D305" s="1"/>
      <c r="E305" s="1"/>
      <c r="F305" s="1"/>
      <c r="G305" s="1"/>
      <c r="H305" s="1"/>
      <c r="I305" s="1"/>
      <c r="J305" s="1"/>
      <c r="K305" s="1"/>
      <c r="L305" s="1"/>
      <c r="M305" s="1"/>
      <c r="N305" s="1"/>
      <c r="O305" s="1"/>
      <c r="P305" s="1"/>
      <c r="Q305" s="1"/>
      <c r="R305" s="1"/>
      <c r="S305" s="1"/>
      <c r="T305" s="1"/>
      <c r="U305" s="5"/>
      <c r="V305" s="6"/>
      <c r="W305" s="6"/>
      <c r="X305" s="6"/>
      <c r="Y305" s="6"/>
      <c r="Z305" s="6"/>
      <c r="AA305" s="6"/>
      <c r="AB305" s="5"/>
      <c r="AC305" s="174">
        <f>IFERROR(__xludf.DUMMYFUNCTION("""COMPUTED_VALUE"""),45289.66666666667)</f>
        <v>45289.66667</v>
      </c>
      <c r="AD305" s="175">
        <f>IFERROR(__xludf.DUMMYFUNCTION("""COMPUTED_VALUE"""),353.96)</f>
        <v>353.96</v>
      </c>
    </row>
    <row r="306" hidden="1">
      <c r="A306" s="1"/>
      <c r="B306" s="1"/>
      <c r="C306" s="1"/>
      <c r="D306" s="1"/>
      <c r="E306" s="1"/>
      <c r="F306" s="1"/>
      <c r="G306" s="1"/>
      <c r="H306" s="1"/>
      <c r="I306" s="1"/>
      <c r="J306" s="1"/>
      <c r="K306" s="1"/>
      <c r="L306" s="1"/>
      <c r="M306" s="1"/>
      <c r="N306" s="1"/>
      <c r="O306" s="1"/>
      <c r="P306" s="1"/>
      <c r="Q306" s="1"/>
      <c r="R306" s="1"/>
      <c r="S306" s="1"/>
      <c r="T306" s="1"/>
      <c r="U306" s="5"/>
      <c r="V306" s="6"/>
      <c r="W306" s="6"/>
      <c r="X306" s="6"/>
      <c r="Y306" s="6"/>
      <c r="Z306" s="6"/>
      <c r="AA306" s="6"/>
      <c r="AB306" s="5"/>
      <c r="AC306" s="174">
        <f>IFERROR(__xludf.DUMMYFUNCTION("""COMPUTED_VALUE"""),45296.66666666667)</f>
        <v>45296.66667</v>
      </c>
      <c r="AD306" s="175">
        <f>IFERROR(__xludf.DUMMYFUNCTION("""COMPUTED_VALUE"""),351.95)</f>
        <v>351.95</v>
      </c>
    </row>
    <row r="307" hidden="1">
      <c r="A307" s="1"/>
      <c r="B307" s="1"/>
      <c r="C307" s="1"/>
      <c r="D307" s="1"/>
      <c r="E307" s="1"/>
      <c r="F307" s="1"/>
      <c r="G307" s="1"/>
      <c r="H307" s="1"/>
      <c r="I307" s="1"/>
      <c r="J307" s="1"/>
      <c r="K307" s="1"/>
      <c r="L307" s="1"/>
      <c r="M307" s="1"/>
      <c r="N307" s="1"/>
      <c r="O307" s="1"/>
      <c r="P307" s="1"/>
      <c r="Q307" s="1"/>
      <c r="R307" s="1"/>
      <c r="S307" s="1"/>
      <c r="T307" s="1"/>
      <c r="U307" s="5"/>
      <c r="V307" s="6"/>
      <c r="W307" s="6"/>
      <c r="X307" s="6"/>
      <c r="Y307" s="6"/>
      <c r="Z307" s="6"/>
      <c r="AA307" s="6"/>
      <c r="AB307" s="5"/>
      <c r="AC307" s="174">
        <f>IFERROR(__xludf.DUMMYFUNCTION("""COMPUTED_VALUE"""),45303.66666666667)</f>
        <v>45303.66667</v>
      </c>
      <c r="AD307" s="175">
        <f>IFERROR(__xludf.DUMMYFUNCTION("""COMPUTED_VALUE"""),374.49)</f>
        <v>374.49</v>
      </c>
    </row>
    <row r="308" hidden="1">
      <c r="A308" s="1"/>
      <c r="B308" s="1"/>
      <c r="C308" s="1"/>
      <c r="D308" s="1"/>
      <c r="E308" s="1"/>
      <c r="F308" s="1"/>
      <c r="G308" s="1"/>
      <c r="H308" s="1"/>
      <c r="I308" s="1"/>
      <c r="J308" s="1"/>
      <c r="K308" s="1"/>
      <c r="L308" s="1"/>
      <c r="M308" s="1"/>
      <c r="N308" s="1"/>
      <c r="O308" s="1"/>
      <c r="P308" s="1"/>
      <c r="Q308" s="1"/>
      <c r="R308" s="1"/>
      <c r="S308" s="1"/>
      <c r="T308" s="1"/>
      <c r="U308" s="5"/>
      <c r="V308" s="6"/>
      <c r="W308" s="6"/>
      <c r="X308" s="6"/>
      <c r="Y308" s="6"/>
      <c r="Z308" s="6"/>
      <c r="AA308" s="6"/>
      <c r="AB308" s="5"/>
      <c r="AC308" s="174">
        <f>IFERROR(__xludf.DUMMYFUNCTION("""COMPUTED_VALUE"""),45310.66666666667)</f>
        <v>45310.66667</v>
      </c>
      <c r="AD308" s="175">
        <f>IFERROR(__xludf.DUMMYFUNCTION("""COMPUTED_VALUE"""),383.45)</f>
        <v>383.45</v>
      </c>
    </row>
    <row r="309" hidden="1">
      <c r="A309" s="1"/>
      <c r="B309" s="1"/>
      <c r="C309" s="1"/>
      <c r="D309" s="1"/>
      <c r="E309" s="1"/>
      <c r="F309" s="1"/>
      <c r="G309" s="1"/>
      <c r="H309" s="1"/>
      <c r="I309" s="1"/>
      <c r="J309" s="1"/>
      <c r="K309" s="1"/>
      <c r="L309" s="1"/>
      <c r="M309" s="1"/>
      <c r="N309" s="1"/>
      <c r="O309" s="1"/>
      <c r="P309" s="1"/>
      <c r="Q309" s="1"/>
      <c r="R309" s="1"/>
      <c r="S309" s="1"/>
      <c r="T309" s="1"/>
      <c r="U309" s="5"/>
      <c r="V309" s="6"/>
      <c r="W309" s="6"/>
      <c r="X309" s="6"/>
      <c r="Y309" s="6"/>
      <c r="Z309" s="6"/>
      <c r="AA309" s="6"/>
      <c r="AB309" s="5"/>
      <c r="AC309" s="174">
        <f>IFERROR(__xludf.DUMMYFUNCTION("""COMPUTED_VALUE"""),45317.66666666667)</f>
        <v>45317.66667</v>
      </c>
      <c r="AD309" s="175">
        <f>IFERROR(__xludf.DUMMYFUNCTION("""COMPUTED_VALUE"""),394.14)</f>
        <v>394.14</v>
      </c>
    </row>
    <row r="310" hidden="1">
      <c r="A310" s="1"/>
      <c r="B310" s="1"/>
      <c r="C310" s="1"/>
      <c r="D310" s="1"/>
      <c r="E310" s="1"/>
      <c r="F310" s="1"/>
      <c r="G310" s="1"/>
      <c r="H310" s="1"/>
      <c r="I310" s="1"/>
      <c r="J310" s="1"/>
      <c r="K310" s="1"/>
      <c r="L310" s="1"/>
      <c r="M310" s="1"/>
      <c r="N310" s="1"/>
      <c r="O310" s="1"/>
      <c r="P310" s="1"/>
      <c r="Q310" s="1"/>
      <c r="R310" s="1"/>
      <c r="S310" s="1"/>
      <c r="T310" s="1"/>
      <c r="U310" s="5"/>
      <c r="V310" s="6"/>
      <c r="W310" s="6"/>
      <c r="X310" s="6"/>
      <c r="Y310" s="6"/>
      <c r="Z310" s="6"/>
      <c r="AA310" s="6"/>
      <c r="AB310" s="5"/>
      <c r="AC310" s="174">
        <f>IFERROR(__xludf.DUMMYFUNCTION("""COMPUTED_VALUE"""),45324.66666666667)</f>
        <v>45324.66667</v>
      </c>
      <c r="AD310" s="175">
        <f>IFERROR(__xludf.DUMMYFUNCTION("""COMPUTED_VALUE"""),474.99)</f>
        <v>474.99</v>
      </c>
    </row>
    <row r="311" hidden="1">
      <c r="A311" s="1"/>
      <c r="B311" s="1"/>
      <c r="C311" s="1"/>
      <c r="D311" s="1"/>
      <c r="E311" s="1"/>
      <c r="F311" s="1"/>
      <c r="G311" s="1"/>
      <c r="H311" s="1"/>
      <c r="I311" s="1"/>
      <c r="J311" s="1"/>
      <c r="K311" s="1"/>
      <c r="L311" s="1"/>
      <c r="M311" s="1"/>
      <c r="N311" s="1"/>
      <c r="O311" s="1"/>
      <c r="P311" s="1"/>
      <c r="Q311" s="1"/>
      <c r="R311" s="1"/>
      <c r="S311" s="1"/>
      <c r="T311" s="1"/>
      <c r="U311" s="5"/>
      <c r="V311" s="6"/>
      <c r="W311" s="6"/>
      <c r="X311" s="6"/>
      <c r="Y311" s="6"/>
      <c r="Z311" s="6"/>
      <c r="AA311" s="6"/>
      <c r="AB311" s="5"/>
      <c r="AC311" s="174">
        <f>IFERROR(__xludf.DUMMYFUNCTION("""COMPUTED_VALUE"""),45331.66666666667)</f>
        <v>45331.66667</v>
      </c>
      <c r="AD311" s="175">
        <f>IFERROR(__xludf.DUMMYFUNCTION("""COMPUTED_VALUE"""),468.11)</f>
        <v>468.11</v>
      </c>
    </row>
    <row r="312" hidden="1">
      <c r="A312" s="1"/>
      <c r="B312" s="1"/>
      <c r="C312" s="1"/>
      <c r="D312" s="1"/>
      <c r="E312" s="1"/>
      <c r="F312" s="1"/>
      <c r="G312" s="1"/>
      <c r="H312" s="1"/>
      <c r="I312" s="1"/>
      <c r="J312" s="1"/>
      <c r="K312" s="1"/>
      <c r="L312" s="1"/>
      <c r="M312" s="1"/>
      <c r="N312" s="1"/>
      <c r="O312" s="1"/>
      <c r="P312" s="1"/>
      <c r="Q312" s="1"/>
      <c r="R312" s="1"/>
      <c r="S312" s="1"/>
      <c r="T312" s="1"/>
      <c r="U312" s="5"/>
      <c r="V312" s="6"/>
      <c r="W312" s="6"/>
      <c r="X312" s="6"/>
      <c r="Y312" s="6"/>
      <c r="Z312" s="6"/>
      <c r="AA312" s="6"/>
      <c r="AB312" s="5"/>
      <c r="AC312" s="174">
        <f>IFERROR(__xludf.DUMMYFUNCTION("""COMPUTED_VALUE"""),45338.66666666667)</f>
        <v>45338.66667</v>
      </c>
      <c r="AD312" s="175">
        <f>IFERROR(__xludf.DUMMYFUNCTION("""COMPUTED_VALUE"""),473.32)</f>
        <v>473.32</v>
      </c>
    </row>
    <row r="313" hidden="1">
      <c r="A313" s="1"/>
      <c r="B313" s="1"/>
      <c r="C313" s="1"/>
      <c r="D313" s="1"/>
      <c r="E313" s="1"/>
      <c r="F313" s="1"/>
      <c r="G313" s="1"/>
      <c r="H313" s="1"/>
      <c r="I313" s="1"/>
      <c r="J313" s="1"/>
      <c r="K313" s="1"/>
      <c r="L313" s="1"/>
      <c r="M313" s="1"/>
      <c r="N313" s="1"/>
      <c r="O313" s="1"/>
      <c r="P313" s="1"/>
      <c r="Q313" s="1"/>
      <c r="R313" s="1"/>
      <c r="S313" s="1"/>
      <c r="T313" s="1"/>
      <c r="U313" s="5"/>
      <c r="V313" s="6"/>
      <c r="W313" s="6"/>
      <c r="X313" s="6"/>
      <c r="Y313" s="6"/>
      <c r="Z313" s="6"/>
      <c r="AA313" s="6"/>
      <c r="AB313" s="5"/>
      <c r="AC313" s="174">
        <f>IFERROR(__xludf.DUMMYFUNCTION("""COMPUTED_VALUE"""),45345.66666666667)</f>
        <v>45345.66667</v>
      </c>
      <c r="AD313" s="175">
        <f>IFERROR(__xludf.DUMMYFUNCTION("""COMPUTED_VALUE"""),484.03)</f>
        <v>484.03</v>
      </c>
    </row>
    <row r="314" hidden="1">
      <c r="A314" s="1"/>
      <c r="B314" s="1"/>
      <c r="C314" s="1"/>
      <c r="D314" s="1"/>
      <c r="E314" s="1"/>
      <c r="F314" s="1"/>
      <c r="G314" s="1"/>
      <c r="H314" s="1"/>
      <c r="I314" s="1"/>
      <c r="J314" s="1"/>
      <c r="K314" s="1"/>
      <c r="L314" s="1"/>
      <c r="M314" s="1"/>
      <c r="N314" s="1"/>
      <c r="O314" s="1"/>
      <c r="P314" s="1"/>
      <c r="Q314" s="1"/>
      <c r="R314" s="1"/>
      <c r="S314" s="1"/>
      <c r="T314" s="1"/>
      <c r="U314" s="5"/>
      <c r="V314" s="6"/>
      <c r="W314" s="6"/>
      <c r="X314" s="6"/>
      <c r="Y314" s="6"/>
      <c r="Z314" s="6"/>
      <c r="AA314" s="6"/>
      <c r="AB314" s="5"/>
      <c r="AC314" s="174">
        <f>IFERROR(__xludf.DUMMYFUNCTION("""COMPUTED_VALUE"""),45352.66666666667)</f>
        <v>45352.66667</v>
      </c>
      <c r="AD314" s="175">
        <f>IFERROR(__xludf.DUMMYFUNCTION("""COMPUTED_VALUE"""),502.3)</f>
        <v>502.3</v>
      </c>
    </row>
    <row r="315" hidden="1">
      <c r="A315" s="1"/>
      <c r="B315" s="1"/>
      <c r="C315" s="1"/>
      <c r="D315" s="1"/>
      <c r="E315" s="1"/>
      <c r="F315" s="1"/>
      <c r="G315" s="1"/>
      <c r="H315" s="1"/>
      <c r="I315" s="1"/>
      <c r="J315" s="1"/>
      <c r="K315" s="1"/>
      <c r="L315" s="1"/>
      <c r="M315" s="1"/>
      <c r="N315" s="1"/>
      <c r="O315" s="1"/>
      <c r="P315" s="1"/>
      <c r="Q315" s="1"/>
      <c r="R315" s="1"/>
      <c r="S315" s="1"/>
      <c r="T315" s="1"/>
      <c r="U315" s="5"/>
      <c r="V315" s="6"/>
      <c r="W315" s="6"/>
      <c r="X315" s="6"/>
      <c r="Y315" s="6"/>
      <c r="Z315" s="6"/>
      <c r="AA315" s="6"/>
      <c r="AB315" s="5"/>
      <c r="AC315" s="174">
        <f>IFERROR(__xludf.DUMMYFUNCTION("""COMPUTED_VALUE"""),45359.66666666667)</f>
        <v>45359.66667</v>
      </c>
      <c r="AD315" s="175">
        <f>IFERROR(__xludf.DUMMYFUNCTION("""COMPUTED_VALUE"""),505.95)</f>
        <v>505.95</v>
      </c>
    </row>
    <row r="316" hidden="1">
      <c r="A316" s="1"/>
      <c r="B316" s="1"/>
      <c r="C316" s="1"/>
      <c r="D316" s="1"/>
      <c r="E316" s="1"/>
      <c r="F316" s="1"/>
      <c r="G316" s="1"/>
      <c r="H316" s="1"/>
      <c r="I316" s="1"/>
      <c r="J316" s="1"/>
      <c r="K316" s="1"/>
      <c r="L316" s="1"/>
      <c r="M316" s="1"/>
      <c r="N316" s="1"/>
      <c r="O316" s="1"/>
      <c r="P316" s="1"/>
      <c r="Q316" s="1"/>
      <c r="R316" s="1"/>
      <c r="S316" s="1"/>
      <c r="T316" s="1"/>
      <c r="U316" s="5"/>
      <c r="V316" s="6"/>
      <c r="W316" s="6"/>
      <c r="X316" s="6"/>
      <c r="Y316" s="6"/>
      <c r="Z316" s="6"/>
      <c r="AA316" s="6"/>
      <c r="AB316" s="5"/>
      <c r="AC316" s="174">
        <f>IFERROR(__xludf.DUMMYFUNCTION("""COMPUTED_VALUE"""),45366.66666666667)</f>
        <v>45366.66667</v>
      </c>
      <c r="AD316" s="175">
        <f>IFERROR(__xludf.DUMMYFUNCTION("""COMPUTED_VALUE"""),484.1)</f>
        <v>484.1</v>
      </c>
    </row>
    <row r="317" hidden="1">
      <c r="A317" s="1"/>
      <c r="B317" s="1"/>
      <c r="C317" s="1"/>
      <c r="D317" s="1"/>
      <c r="E317" s="1"/>
      <c r="F317" s="1"/>
      <c r="G317" s="1"/>
      <c r="H317" s="1"/>
      <c r="I317" s="1"/>
      <c r="J317" s="1"/>
      <c r="K317" s="1"/>
      <c r="L317" s="1"/>
      <c r="M317" s="1"/>
      <c r="N317" s="1"/>
      <c r="O317" s="1"/>
      <c r="P317" s="1"/>
      <c r="Q317" s="1"/>
      <c r="R317" s="1"/>
      <c r="S317" s="1"/>
      <c r="T317" s="1"/>
      <c r="U317" s="5"/>
      <c r="V317" s="6"/>
      <c r="W317" s="6"/>
      <c r="X317" s="6"/>
      <c r="Y317" s="6"/>
      <c r="Z317" s="6"/>
      <c r="AA317" s="6"/>
      <c r="AB317" s="5"/>
      <c r="AC317" s="174">
        <f>IFERROR(__xludf.DUMMYFUNCTION("""COMPUTED_VALUE"""),45373.66666666667)</f>
        <v>45373.66667</v>
      </c>
      <c r="AD317" s="175">
        <f>IFERROR(__xludf.DUMMYFUNCTION("""COMPUTED_VALUE"""),509.58)</f>
        <v>509.58</v>
      </c>
    </row>
    <row r="318" hidden="1">
      <c r="A318" s="1"/>
      <c r="B318" s="1"/>
      <c r="C318" s="1"/>
      <c r="D318" s="1"/>
      <c r="E318" s="1"/>
      <c r="F318" s="1"/>
      <c r="G318" s="1"/>
      <c r="H318" s="1"/>
      <c r="I318" s="1"/>
      <c r="J318" s="1"/>
      <c r="K318" s="1"/>
      <c r="L318" s="1"/>
      <c r="M318" s="1"/>
      <c r="N318" s="1"/>
      <c r="O318" s="1"/>
      <c r="P318" s="1"/>
      <c r="Q318" s="1"/>
      <c r="R318" s="1"/>
      <c r="S318" s="1"/>
      <c r="T318" s="1"/>
      <c r="U318" s="5"/>
      <c r="V318" s="6"/>
      <c r="W318" s="6"/>
      <c r="X318" s="6"/>
      <c r="Y318" s="6"/>
      <c r="Z318" s="6"/>
      <c r="AA318" s="6"/>
      <c r="AB318" s="5"/>
      <c r="AC318" s="174">
        <f>IFERROR(__xludf.DUMMYFUNCTION("""COMPUTED_VALUE"""),45379.66666666667)</f>
        <v>45379.66667</v>
      </c>
      <c r="AD318" s="175">
        <f>IFERROR(__xludf.DUMMYFUNCTION("""COMPUTED_VALUE"""),485.58)</f>
        <v>485.58</v>
      </c>
    </row>
    <row r="319" hidden="1">
      <c r="A319" s="1"/>
      <c r="B319" s="1"/>
      <c r="C319" s="1"/>
      <c r="D319" s="1"/>
      <c r="E319" s="1"/>
      <c r="F319" s="1"/>
      <c r="G319" s="1"/>
      <c r="H319" s="1"/>
      <c r="I319" s="1"/>
      <c r="J319" s="1"/>
      <c r="K319" s="1"/>
      <c r="L319" s="1"/>
      <c r="M319" s="1"/>
      <c r="N319" s="1"/>
      <c r="O319" s="1"/>
      <c r="P319" s="1"/>
      <c r="Q319" s="1"/>
      <c r="R319" s="1"/>
      <c r="S319" s="1"/>
      <c r="T319" s="1"/>
      <c r="U319" s="5"/>
      <c r="V319" s="6"/>
      <c r="W319" s="6"/>
      <c r="X319" s="6"/>
      <c r="Y319" s="6"/>
      <c r="Z319" s="6"/>
      <c r="AA319" s="6"/>
      <c r="AB319" s="5"/>
      <c r="AC319" s="174">
        <f>IFERROR(__xludf.DUMMYFUNCTION("""COMPUTED_VALUE"""),45387.66666666667)</f>
        <v>45387.66667</v>
      </c>
      <c r="AD319" s="175">
        <f>IFERROR(__xludf.DUMMYFUNCTION("""COMPUTED_VALUE"""),527.34)</f>
        <v>527.34</v>
      </c>
    </row>
    <row r="320" hidden="1">
      <c r="A320" s="1"/>
      <c r="B320" s="1"/>
      <c r="C320" s="1"/>
      <c r="D320" s="1"/>
      <c r="E320" s="1"/>
      <c r="F320" s="1"/>
      <c r="G320" s="1"/>
      <c r="H320" s="1"/>
      <c r="I320" s="1"/>
      <c r="J320" s="1"/>
      <c r="K320" s="1"/>
      <c r="L320" s="1"/>
      <c r="M320" s="1"/>
      <c r="N320" s="1"/>
      <c r="O320" s="1"/>
      <c r="P320" s="1"/>
      <c r="Q320" s="1"/>
      <c r="R320" s="1"/>
      <c r="S320" s="1"/>
      <c r="T320" s="1"/>
      <c r="U320" s="5"/>
      <c r="V320" s="6"/>
      <c r="W320" s="6"/>
      <c r="X320" s="6"/>
      <c r="Y320" s="6"/>
      <c r="Z320" s="6"/>
      <c r="AA320" s="6"/>
      <c r="AB320" s="5"/>
      <c r="AC320" s="174">
        <f>IFERROR(__xludf.DUMMYFUNCTION("""COMPUTED_VALUE"""),45394.66666666667)</f>
        <v>45394.66667</v>
      </c>
      <c r="AD320" s="175">
        <f>IFERROR(__xludf.DUMMYFUNCTION("""COMPUTED_VALUE"""),511.9)</f>
        <v>511.9</v>
      </c>
    </row>
    <row r="321" hidden="1">
      <c r="A321" s="1"/>
      <c r="B321" s="1"/>
      <c r="C321" s="1"/>
      <c r="D321" s="1"/>
      <c r="E321" s="1"/>
      <c r="F321" s="1"/>
      <c r="G321" s="1"/>
      <c r="H321" s="1"/>
      <c r="I321" s="1"/>
      <c r="J321" s="1"/>
      <c r="K321" s="1"/>
      <c r="L321" s="1"/>
      <c r="M321" s="1"/>
      <c r="N321" s="1"/>
      <c r="O321" s="1"/>
      <c r="P321" s="1"/>
      <c r="Q321" s="1"/>
      <c r="R321" s="1"/>
      <c r="S321" s="1"/>
      <c r="T321" s="1"/>
      <c r="U321" s="5"/>
      <c r="V321" s="6"/>
      <c r="W321" s="6"/>
      <c r="X321" s="6"/>
      <c r="Y321" s="6"/>
      <c r="Z321" s="6"/>
      <c r="AA321" s="6"/>
      <c r="AB321" s="5"/>
      <c r="AC321" s="174">
        <f>IFERROR(__xludf.DUMMYFUNCTION("""COMPUTED_VALUE"""),45401.66666666667)</f>
        <v>45401.66667</v>
      </c>
      <c r="AD321" s="175">
        <f>IFERROR(__xludf.DUMMYFUNCTION("""COMPUTED_VALUE"""),481.07)</f>
        <v>481.07</v>
      </c>
    </row>
    <row r="322" hidden="1">
      <c r="A322" s="1"/>
      <c r="B322" s="1"/>
      <c r="C322" s="1"/>
      <c r="D322" s="1"/>
      <c r="E322" s="1"/>
      <c r="F322" s="1"/>
      <c r="G322" s="1"/>
      <c r="H322" s="1"/>
      <c r="I322" s="1"/>
      <c r="J322" s="1"/>
      <c r="K322" s="1"/>
      <c r="L322" s="1"/>
      <c r="M322" s="1"/>
      <c r="N322" s="1"/>
      <c r="O322" s="1"/>
      <c r="P322" s="1"/>
      <c r="Q322" s="1"/>
      <c r="R322" s="1"/>
      <c r="S322" s="1"/>
      <c r="T322" s="1"/>
      <c r="U322" s="5"/>
      <c r="V322" s="6"/>
      <c r="W322" s="6"/>
      <c r="X322" s="6"/>
      <c r="Y322" s="6"/>
      <c r="Z322" s="6"/>
      <c r="AA322" s="6"/>
      <c r="AB322" s="5"/>
      <c r="AC322" s="174">
        <f>IFERROR(__xludf.DUMMYFUNCTION("""COMPUTED_VALUE"""),45408.66666666667)</f>
        <v>45408.66667</v>
      </c>
      <c r="AD322" s="175">
        <f>IFERROR(__xludf.DUMMYFUNCTION("""COMPUTED_VALUE"""),443.29)</f>
        <v>443.29</v>
      </c>
    </row>
    <row r="323" hidden="1">
      <c r="A323" s="1"/>
      <c r="B323" s="1"/>
      <c r="C323" s="1"/>
      <c r="D323" s="1"/>
      <c r="E323" s="1"/>
      <c r="F323" s="1"/>
      <c r="G323" s="1"/>
      <c r="H323" s="1"/>
      <c r="I323" s="1"/>
      <c r="J323" s="1"/>
      <c r="K323" s="1"/>
      <c r="L323" s="1"/>
      <c r="M323" s="1"/>
      <c r="N323" s="1"/>
      <c r="O323" s="1"/>
      <c r="P323" s="1"/>
      <c r="Q323" s="1"/>
      <c r="R323" s="1"/>
      <c r="S323" s="1"/>
      <c r="T323" s="1"/>
      <c r="U323" s="5"/>
      <c r="V323" s="6"/>
      <c r="W323" s="6"/>
      <c r="X323" s="6"/>
      <c r="Y323" s="6"/>
      <c r="Z323" s="6"/>
      <c r="AA323" s="6"/>
      <c r="AB323" s="5"/>
      <c r="AC323" s="174">
        <f>IFERROR(__xludf.DUMMYFUNCTION("""COMPUTED_VALUE"""),45415.66666666667)</f>
        <v>45415.66667</v>
      </c>
      <c r="AD323" s="175">
        <f>IFERROR(__xludf.DUMMYFUNCTION("""COMPUTED_VALUE"""),451.96)</f>
        <v>451.96</v>
      </c>
    </row>
    <row r="324" hidden="1">
      <c r="A324" s="1"/>
      <c r="B324" s="1"/>
      <c r="C324" s="1"/>
      <c r="D324" s="1"/>
      <c r="E324" s="1"/>
      <c r="F324" s="1"/>
      <c r="G324" s="1"/>
      <c r="H324" s="1"/>
      <c r="I324" s="1"/>
      <c r="J324" s="1"/>
      <c r="K324" s="1"/>
      <c r="L324" s="1"/>
      <c r="M324" s="1"/>
      <c r="N324" s="1"/>
      <c r="O324" s="1"/>
      <c r="P324" s="1"/>
      <c r="Q324" s="1"/>
      <c r="R324" s="1"/>
      <c r="S324" s="1"/>
      <c r="T324" s="1"/>
      <c r="U324" s="5"/>
      <c r="V324" s="6"/>
      <c r="W324" s="6"/>
      <c r="X324" s="6"/>
      <c r="Y324" s="6"/>
      <c r="Z324" s="6"/>
      <c r="AA324" s="6"/>
      <c r="AB324" s="5"/>
      <c r="AC324" s="174">
        <f>IFERROR(__xludf.DUMMYFUNCTION("""COMPUTED_VALUE"""),45422.66666666667)</f>
        <v>45422.66667</v>
      </c>
      <c r="AD324" s="175">
        <f>IFERROR(__xludf.DUMMYFUNCTION("""COMPUTED_VALUE"""),476.2)</f>
        <v>476.2</v>
      </c>
    </row>
    <row r="325" hidden="1">
      <c r="A325" s="1"/>
      <c r="B325" s="1"/>
      <c r="C325" s="1"/>
      <c r="D325" s="1"/>
      <c r="E325" s="1"/>
      <c r="F325" s="1"/>
      <c r="G325" s="1"/>
      <c r="H325" s="1"/>
      <c r="I325" s="1"/>
      <c r="J325" s="1"/>
      <c r="K325" s="1"/>
      <c r="L325" s="1"/>
      <c r="M325" s="1"/>
      <c r="N325" s="1"/>
      <c r="O325" s="1"/>
      <c r="P325" s="1"/>
      <c r="Q325" s="1"/>
      <c r="R325" s="1"/>
      <c r="S325" s="1"/>
      <c r="T325" s="1"/>
      <c r="U325" s="5"/>
      <c r="V325" s="6"/>
      <c r="W325" s="6"/>
      <c r="X325" s="6"/>
      <c r="Y325" s="6"/>
      <c r="Z325" s="6"/>
      <c r="AA325" s="6"/>
      <c r="AB325" s="5"/>
      <c r="AC325" s="174">
        <f>IFERROR(__xludf.DUMMYFUNCTION("""COMPUTED_VALUE"""),45429.66666666667)</f>
        <v>45429.66667</v>
      </c>
      <c r="AD325" s="175">
        <f>IFERROR(__xludf.DUMMYFUNCTION("""COMPUTED_VALUE"""),471.91)</f>
        <v>471.91</v>
      </c>
    </row>
    <row r="326" hidden="1">
      <c r="A326" s="1"/>
      <c r="B326" s="1"/>
      <c r="C326" s="1"/>
      <c r="D326" s="1"/>
      <c r="E326" s="1"/>
      <c r="F326" s="1"/>
      <c r="G326" s="1"/>
      <c r="H326" s="1"/>
      <c r="I326" s="1"/>
      <c r="J326" s="1"/>
      <c r="K326" s="1"/>
      <c r="L326" s="1"/>
      <c r="M326" s="1"/>
      <c r="N326" s="1"/>
      <c r="O326" s="1"/>
      <c r="P326" s="1"/>
      <c r="Q326" s="1"/>
      <c r="R326" s="1"/>
      <c r="S326" s="1"/>
      <c r="T326" s="1"/>
      <c r="U326" s="5"/>
      <c r="V326" s="6"/>
      <c r="W326" s="6"/>
      <c r="X326" s="6"/>
      <c r="Y326" s="6"/>
      <c r="Z326" s="6"/>
      <c r="AA326" s="6"/>
      <c r="AB326" s="5"/>
      <c r="AC326" s="174">
        <f>IFERROR(__xludf.DUMMYFUNCTION("""COMPUTED_VALUE"""),45436.66666666667)</f>
        <v>45436.66667</v>
      </c>
      <c r="AD326" s="175">
        <f>IFERROR(__xludf.DUMMYFUNCTION("""COMPUTED_VALUE"""),478.22)</f>
        <v>478.22</v>
      </c>
    </row>
    <row r="327" hidden="1">
      <c r="A327" s="1"/>
      <c r="B327" s="1"/>
      <c r="C327" s="1"/>
      <c r="D327" s="1"/>
      <c r="E327" s="1"/>
      <c r="F327" s="1"/>
      <c r="G327" s="1"/>
      <c r="H327" s="1"/>
      <c r="I327" s="1"/>
      <c r="J327" s="1"/>
      <c r="K327" s="1"/>
      <c r="L327" s="1"/>
      <c r="M327" s="1"/>
      <c r="N327" s="1"/>
      <c r="O327" s="1"/>
      <c r="P327" s="1"/>
      <c r="Q327" s="1"/>
      <c r="R327" s="1"/>
      <c r="S327" s="1"/>
      <c r="T327" s="1"/>
      <c r="U327" s="5"/>
      <c r="V327" s="6"/>
      <c r="W327" s="6"/>
      <c r="X327" s="6"/>
      <c r="Y327" s="6"/>
      <c r="Z327" s="6"/>
      <c r="AA327" s="6"/>
      <c r="AB327" s="5"/>
      <c r="AC327" s="174">
        <f>IFERROR(__xludf.DUMMYFUNCTION("""COMPUTED_VALUE"""),45443.66666666667)</f>
        <v>45443.66667</v>
      </c>
      <c r="AD327" s="175">
        <f>IFERROR(__xludf.DUMMYFUNCTION("""COMPUTED_VALUE"""),466.83)</f>
        <v>466.83</v>
      </c>
    </row>
    <row r="328" hidden="1">
      <c r="A328" s="1"/>
      <c r="B328" s="1"/>
      <c r="C328" s="1"/>
      <c r="D328" s="1"/>
      <c r="E328" s="1"/>
      <c r="F328" s="1"/>
      <c r="G328" s="1"/>
      <c r="H328" s="1"/>
      <c r="I328" s="1"/>
      <c r="J328" s="1"/>
      <c r="K328" s="1"/>
      <c r="L328" s="1"/>
      <c r="M328" s="1"/>
      <c r="N328" s="1"/>
      <c r="O328" s="1"/>
      <c r="P328" s="1"/>
      <c r="Q328" s="1"/>
      <c r="R328" s="1"/>
      <c r="S328" s="1"/>
      <c r="T328" s="1"/>
      <c r="U328" s="5"/>
      <c r="V328" s="6"/>
      <c r="W328" s="6"/>
      <c r="X328" s="6"/>
      <c r="Y328" s="6"/>
      <c r="Z328" s="6"/>
      <c r="AA328" s="6"/>
      <c r="AB328" s="5"/>
      <c r="AC328" s="174">
        <f>IFERROR(__xludf.DUMMYFUNCTION("""COMPUTED_VALUE"""),45450.66666666667)</f>
        <v>45450.66667</v>
      </c>
      <c r="AD328" s="175">
        <f>IFERROR(__xludf.DUMMYFUNCTION("""COMPUTED_VALUE"""),492.96)</f>
        <v>492.96</v>
      </c>
    </row>
    <row r="329" hidden="1">
      <c r="A329" s="1"/>
      <c r="B329" s="1"/>
      <c r="C329" s="1"/>
      <c r="D329" s="1"/>
      <c r="E329" s="1"/>
      <c r="F329" s="1"/>
      <c r="G329" s="1"/>
      <c r="H329" s="1"/>
      <c r="I329" s="1"/>
      <c r="J329" s="1"/>
      <c r="K329" s="1"/>
      <c r="L329" s="1"/>
      <c r="M329" s="1"/>
      <c r="N329" s="1"/>
      <c r="O329" s="1"/>
      <c r="P329" s="1"/>
      <c r="Q329" s="1"/>
      <c r="R329" s="1"/>
      <c r="S329" s="1"/>
      <c r="T329" s="1"/>
      <c r="U329" s="5"/>
      <c r="V329" s="6"/>
      <c r="W329" s="6"/>
      <c r="X329" s="6"/>
      <c r="Y329" s="6"/>
      <c r="Z329" s="6"/>
      <c r="AA329" s="6"/>
      <c r="AB329" s="5"/>
      <c r="AC329" s="174">
        <f>IFERROR(__xludf.DUMMYFUNCTION("""COMPUTED_VALUE"""),45457.66666666667)</f>
        <v>45457.66667</v>
      </c>
      <c r="AD329" s="175">
        <f>IFERROR(__xludf.DUMMYFUNCTION("""COMPUTED_VALUE"""),504.16)</f>
        <v>504.16</v>
      </c>
    </row>
    <row r="330" hidden="1">
      <c r="A330" s="1"/>
      <c r="B330" s="1"/>
      <c r="C330" s="1"/>
      <c r="D330" s="1"/>
      <c r="E330" s="1"/>
      <c r="F330" s="1"/>
      <c r="G330" s="1"/>
      <c r="H330" s="1"/>
      <c r="I330" s="1"/>
      <c r="J330" s="1"/>
      <c r="K330" s="1"/>
      <c r="L330" s="1"/>
      <c r="M330" s="1"/>
      <c r="N330" s="1"/>
      <c r="O330" s="1"/>
      <c r="P330" s="1"/>
      <c r="Q330" s="1"/>
      <c r="R330" s="1"/>
      <c r="S330" s="1"/>
      <c r="T330" s="1"/>
      <c r="U330" s="5"/>
      <c r="V330" s="6"/>
      <c r="W330" s="6"/>
      <c r="X330" s="6"/>
      <c r="Y330" s="6"/>
      <c r="Z330" s="6"/>
      <c r="AA330" s="6"/>
      <c r="AB330" s="5"/>
      <c r="AC330" s="174">
        <f>IFERROR(__xludf.DUMMYFUNCTION("""COMPUTED_VALUE"""),45464.66666666667)</f>
        <v>45464.66667</v>
      </c>
      <c r="AD330" s="175">
        <f>IFERROR(__xludf.DUMMYFUNCTION("""COMPUTED_VALUE"""),494.78)</f>
        <v>494.78</v>
      </c>
    </row>
    <row r="331" hidden="1">
      <c r="A331" s="1"/>
      <c r="B331" s="1"/>
      <c r="C331" s="1"/>
      <c r="D331" s="1"/>
      <c r="E331" s="1"/>
      <c r="F331" s="1"/>
      <c r="G331" s="1"/>
      <c r="H331" s="1"/>
      <c r="I331" s="1"/>
      <c r="J331" s="1"/>
      <c r="K331" s="1"/>
      <c r="L331" s="1"/>
      <c r="M331" s="1"/>
      <c r="N331" s="1"/>
      <c r="O331" s="1"/>
      <c r="P331" s="1"/>
      <c r="Q331" s="1"/>
      <c r="R331" s="1"/>
      <c r="S331" s="1"/>
      <c r="T331" s="1"/>
      <c r="U331" s="5"/>
      <c r="V331" s="6"/>
      <c r="W331" s="6"/>
      <c r="X331" s="6"/>
      <c r="Y331" s="6"/>
      <c r="Z331" s="6"/>
      <c r="AA331" s="6"/>
      <c r="AB331" s="5"/>
      <c r="AC331" s="174">
        <f>IFERROR(__xludf.DUMMYFUNCTION("""COMPUTED_VALUE"""),45471.66666666667)</f>
        <v>45471.66667</v>
      </c>
      <c r="AD331" s="175">
        <f>IFERROR(__xludf.DUMMYFUNCTION("""COMPUTED_VALUE"""),504.22)</f>
        <v>504.22</v>
      </c>
    </row>
    <row r="332" hidden="1">
      <c r="A332" s="1"/>
      <c r="B332" s="1"/>
      <c r="C332" s="1"/>
      <c r="D332" s="1"/>
      <c r="E332" s="1"/>
      <c r="F332" s="1"/>
      <c r="G332" s="1"/>
      <c r="H332" s="1"/>
      <c r="I332" s="1"/>
      <c r="J332" s="1"/>
      <c r="K332" s="1"/>
      <c r="L332" s="1"/>
      <c r="M332" s="1"/>
      <c r="N332" s="1"/>
      <c r="O332" s="1"/>
      <c r="P332" s="1"/>
      <c r="Q332" s="1"/>
      <c r="R332" s="1"/>
      <c r="S332" s="1"/>
      <c r="T332" s="1"/>
      <c r="U332" s="5"/>
      <c r="V332" s="6"/>
      <c r="W332" s="6"/>
      <c r="X332" s="6"/>
      <c r="Y332" s="6"/>
      <c r="Z332" s="6"/>
      <c r="AA332" s="6"/>
      <c r="AB332" s="5"/>
      <c r="AC332" s="174">
        <f>IFERROR(__xludf.DUMMYFUNCTION("""COMPUTED_VALUE"""),45478.66666666667)</f>
        <v>45478.66667</v>
      </c>
      <c r="AD332" s="175">
        <f>IFERROR(__xludf.DUMMYFUNCTION("""COMPUTED_VALUE"""),539.91)</f>
        <v>539.91</v>
      </c>
    </row>
    <row r="333" hidden="1">
      <c r="A333" s="1"/>
      <c r="B333" s="1"/>
      <c r="C333" s="1"/>
      <c r="D333" s="1"/>
      <c r="E333" s="1"/>
      <c r="F333" s="1"/>
      <c r="G333" s="1"/>
      <c r="H333" s="1"/>
      <c r="I333" s="1"/>
      <c r="J333" s="1"/>
      <c r="K333" s="1"/>
      <c r="L333" s="1"/>
      <c r="M333" s="1"/>
      <c r="N333" s="1"/>
      <c r="O333" s="1"/>
      <c r="P333" s="1"/>
      <c r="Q333" s="1"/>
      <c r="R333" s="1"/>
      <c r="S333" s="1"/>
      <c r="T333" s="1"/>
      <c r="U333" s="5"/>
      <c r="V333" s="6"/>
      <c r="W333" s="6"/>
      <c r="X333" s="6"/>
      <c r="Y333" s="6"/>
      <c r="Z333" s="6"/>
      <c r="AA333" s="6"/>
      <c r="AB333" s="5"/>
      <c r="AC333" s="174">
        <f>IFERROR(__xludf.DUMMYFUNCTION("""COMPUTED_VALUE"""),45485.66666666667)</f>
        <v>45485.66667</v>
      </c>
      <c r="AD333" s="175">
        <f>IFERROR(__xludf.DUMMYFUNCTION("""COMPUTED_VALUE"""),498.87)</f>
        <v>498.87</v>
      </c>
    </row>
    <row r="334" hidden="1">
      <c r="A334" s="1"/>
      <c r="B334" s="1"/>
      <c r="C334" s="1"/>
      <c r="D334" s="1"/>
      <c r="E334" s="1"/>
      <c r="F334" s="1"/>
      <c r="G334" s="1"/>
      <c r="H334" s="1"/>
      <c r="I334" s="1"/>
      <c r="J334" s="1"/>
      <c r="K334" s="1"/>
      <c r="L334" s="1"/>
      <c r="M334" s="1"/>
      <c r="N334" s="1"/>
      <c r="O334" s="1"/>
      <c r="P334" s="1"/>
      <c r="Q334" s="1"/>
      <c r="R334" s="1"/>
      <c r="S334" s="1"/>
      <c r="T334" s="1"/>
      <c r="U334" s="5"/>
      <c r="V334" s="6"/>
      <c r="W334" s="6"/>
      <c r="X334" s="6"/>
      <c r="Y334" s="6"/>
      <c r="Z334" s="6"/>
      <c r="AA334" s="6"/>
      <c r="AB334" s="5"/>
      <c r="AC334" s="174">
        <f>IFERROR(__xludf.DUMMYFUNCTION("""COMPUTED_VALUE"""),45492.66666666667)</f>
        <v>45492.66667</v>
      </c>
      <c r="AD334" s="175">
        <f>IFERROR(__xludf.DUMMYFUNCTION("""COMPUTED_VALUE"""),476.79)</f>
        <v>476.79</v>
      </c>
    </row>
    <row r="335" hidden="1">
      <c r="A335" s="1"/>
      <c r="B335" s="1"/>
      <c r="C335" s="1"/>
      <c r="D335" s="1"/>
      <c r="E335" s="1"/>
      <c r="F335" s="1"/>
      <c r="G335" s="1"/>
      <c r="H335" s="1"/>
      <c r="I335" s="1"/>
      <c r="J335" s="1"/>
      <c r="K335" s="1"/>
      <c r="L335" s="1"/>
      <c r="M335" s="1"/>
      <c r="N335" s="1"/>
      <c r="O335" s="1"/>
      <c r="P335" s="1"/>
      <c r="Q335" s="1"/>
      <c r="R335" s="1"/>
      <c r="S335" s="1"/>
      <c r="T335" s="1"/>
      <c r="U335" s="5"/>
      <c r="V335" s="6"/>
      <c r="W335" s="6"/>
      <c r="X335" s="6"/>
      <c r="Y335" s="6"/>
      <c r="Z335" s="6"/>
      <c r="AA335" s="6"/>
      <c r="AB335" s="5"/>
      <c r="AC335" s="174">
        <f>IFERROR(__xludf.DUMMYFUNCTION("""COMPUTED_VALUE"""),45499.66666666667)</f>
        <v>45499.66667</v>
      </c>
      <c r="AD335" s="175">
        <f>IFERROR(__xludf.DUMMYFUNCTION("""COMPUTED_VALUE"""),465.7)</f>
        <v>465.7</v>
      </c>
    </row>
    <row r="336" hidden="1">
      <c r="A336" s="1"/>
      <c r="B336" s="1"/>
      <c r="C336" s="1"/>
      <c r="D336" s="1"/>
      <c r="E336" s="1"/>
      <c r="F336" s="1"/>
      <c r="G336" s="1"/>
      <c r="H336" s="1"/>
      <c r="I336" s="1"/>
      <c r="J336" s="1"/>
      <c r="K336" s="1"/>
      <c r="L336" s="1"/>
      <c r="M336" s="1"/>
      <c r="N336" s="1"/>
      <c r="O336" s="1"/>
      <c r="P336" s="1"/>
      <c r="Q336" s="1"/>
      <c r="R336" s="1"/>
      <c r="S336" s="1"/>
      <c r="T336" s="1"/>
      <c r="U336" s="5"/>
      <c r="V336" s="6"/>
      <c r="W336" s="6"/>
      <c r="X336" s="6"/>
      <c r="Y336" s="6"/>
      <c r="Z336" s="6"/>
      <c r="AA336" s="6"/>
      <c r="AB336" s="5"/>
      <c r="AC336" s="174">
        <f>IFERROR(__xludf.DUMMYFUNCTION("""COMPUTED_VALUE"""),45506.66666666667)</f>
        <v>45506.66667</v>
      </c>
      <c r="AD336" s="175">
        <f>IFERROR(__xludf.DUMMYFUNCTION("""COMPUTED_VALUE"""),488.14)</f>
        <v>488.14</v>
      </c>
    </row>
    <row r="337" hidden="1">
      <c r="A337" s="1"/>
      <c r="B337" s="1"/>
      <c r="C337" s="1"/>
      <c r="D337" s="1"/>
      <c r="E337" s="1"/>
      <c r="F337" s="1"/>
      <c r="G337" s="1"/>
      <c r="H337" s="1"/>
      <c r="I337" s="1"/>
      <c r="J337" s="1"/>
      <c r="K337" s="1"/>
      <c r="L337" s="1"/>
      <c r="M337" s="1"/>
      <c r="N337" s="1"/>
      <c r="O337" s="1"/>
      <c r="P337" s="1"/>
      <c r="Q337" s="1"/>
      <c r="R337" s="1"/>
      <c r="S337" s="1"/>
      <c r="T337" s="1"/>
      <c r="U337" s="5"/>
      <c r="V337" s="6"/>
      <c r="W337" s="6"/>
      <c r="X337" s="6"/>
      <c r="Y337" s="6"/>
      <c r="Z337" s="6"/>
      <c r="AA337" s="6"/>
      <c r="AB337" s="5"/>
      <c r="AC337" s="174">
        <f>IFERROR(__xludf.DUMMYFUNCTION("""COMPUTED_VALUE"""),45513.66666666667)</f>
        <v>45513.66667</v>
      </c>
      <c r="AD337" s="175">
        <f>IFERROR(__xludf.DUMMYFUNCTION("""COMPUTED_VALUE"""),517.77)</f>
        <v>517.77</v>
      </c>
    </row>
    <row r="338" hidden="1">
      <c r="A338" s="1"/>
      <c r="B338" s="1"/>
      <c r="C338" s="1"/>
      <c r="D338" s="1"/>
      <c r="E338" s="1"/>
      <c r="F338" s="1"/>
      <c r="G338" s="1"/>
      <c r="H338" s="1"/>
      <c r="I338" s="1"/>
      <c r="J338" s="1"/>
      <c r="K338" s="1"/>
      <c r="L338" s="1"/>
      <c r="M338" s="1"/>
      <c r="N338" s="1"/>
      <c r="O338" s="1"/>
      <c r="P338" s="1"/>
      <c r="Q338" s="1"/>
      <c r="R338" s="1"/>
      <c r="S338" s="1"/>
      <c r="T338" s="1"/>
      <c r="U338" s="5"/>
      <c r="V338" s="6"/>
      <c r="W338" s="6"/>
      <c r="X338" s="6"/>
      <c r="Y338" s="6"/>
      <c r="Z338" s="6"/>
      <c r="AA338" s="6"/>
      <c r="AB338" s="5"/>
      <c r="AC338" s="174">
        <f>IFERROR(__xludf.DUMMYFUNCTION("""COMPUTED_VALUE"""),45520.66666666667)</f>
        <v>45520.66667</v>
      </c>
      <c r="AD338" s="175">
        <f>IFERROR(__xludf.DUMMYFUNCTION("""COMPUTED_VALUE"""),527.42)</f>
        <v>527.42</v>
      </c>
    </row>
    <row r="339" hidden="1">
      <c r="A339" s="1"/>
      <c r="B339" s="1"/>
      <c r="C339" s="1"/>
      <c r="D339" s="1"/>
      <c r="E339" s="1"/>
      <c r="F339" s="1"/>
      <c r="G339" s="1"/>
      <c r="H339" s="1"/>
      <c r="I339" s="1"/>
      <c r="J339" s="1"/>
      <c r="K339" s="1"/>
      <c r="L339" s="1"/>
      <c r="M339" s="1"/>
      <c r="N339" s="1"/>
      <c r="O339" s="1"/>
      <c r="P339" s="1"/>
      <c r="Q339" s="1"/>
      <c r="R339" s="1"/>
      <c r="S339" s="1"/>
      <c r="T339" s="1"/>
      <c r="U339" s="5"/>
      <c r="V339" s="6"/>
      <c r="W339" s="6"/>
      <c r="X339" s="6"/>
      <c r="Y339" s="6"/>
      <c r="Z339" s="6"/>
      <c r="AA339" s="6"/>
      <c r="AB339" s="5"/>
      <c r="AC339" s="174">
        <f>IFERROR(__xludf.DUMMYFUNCTION("""COMPUTED_VALUE"""),45527.66666666667)</f>
        <v>45527.66667</v>
      </c>
      <c r="AD339" s="175">
        <f>IFERROR(__xludf.DUMMYFUNCTION("""COMPUTED_VALUE"""),528.0)</f>
        <v>528</v>
      </c>
    </row>
    <row r="340" hidden="1">
      <c r="A340" s="1"/>
      <c r="B340" s="1"/>
      <c r="C340" s="1"/>
      <c r="D340" s="1"/>
      <c r="E340" s="1"/>
      <c r="F340" s="1"/>
      <c r="G340" s="1"/>
      <c r="H340" s="1"/>
      <c r="I340" s="1"/>
      <c r="J340" s="1"/>
      <c r="K340" s="1"/>
      <c r="L340" s="1"/>
      <c r="M340" s="1"/>
      <c r="N340" s="1"/>
      <c r="O340" s="1"/>
      <c r="P340" s="1"/>
      <c r="Q340" s="1"/>
      <c r="R340" s="1"/>
      <c r="S340" s="1"/>
      <c r="T340" s="1"/>
      <c r="U340" s="5"/>
      <c r="V340" s="6"/>
      <c r="W340" s="6"/>
      <c r="X340" s="6"/>
      <c r="Y340" s="6"/>
      <c r="Z340" s="6"/>
      <c r="AA340" s="6"/>
      <c r="AB340" s="5"/>
      <c r="AC340" s="174">
        <f>IFERROR(__xludf.DUMMYFUNCTION("""COMPUTED_VALUE"""),45534.66666666667)</f>
        <v>45534.66667</v>
      </c>
      <c r="AD340" s="175">
        <f>IFERROR(__xludf.DUMMYFUNCTION("""COMPUTED_VALUE"""),521.31)</f>
        <v>521.31</v>
      </c>
    </row>
    <row r="341" hidden="1">
      <c r="A341" s="1"/>
      <c r="B341" s="1"/>
      <c r="C341" s="1"/>
      <c r="D341" s="1"/>
      <c r="E341" s="1"/>
      <c r="F341" s="1"/>
      <c r="G341" s="1"/>
      <c r="H341" s="1"/>
      <c r="I341" s="1"/>
      <c r="J341" s="1"/>
      <c r="K341" s="1"/>
      <c r="L341" s="1"/>
      <c r="M341" s="1"/>
      <c r="N341" s="1"/>
      <c r="O341" s="1"/>
      <c r="P341" s="1"/>
      <c r="Q341" s="1"/>
      <c r="R341" s="1"/>
      <c r="S341" s="1"/>
      <c r="T341" s="1"/>
      <c r="U341" s="5"/>
      <c r="V341" s="6"/>
      <c r="W341" s="6"/>
      <c r="X341" s="6"/>
      <c r="Y341" s="6"/>
      <c r="Z341" s="6"/>
      <c r="AA341" s="6"/>
      <c r="AB341" s="5"/>
      <c r="AC341" s="174">
        <f>IFERROR(__xludf.DUMMYFUNCTION("""COMPUTED_VALUE"""),45541.66666666667)</f>
        <v>45541.66667</v>
      </c>
      <c r="AD341" s="175">
        <f>IFERROR(__xludf.DUMMYFUNCTION("""COMPUTED_VALUE"""),500.27)</f>
        <v>500.27</v>
      </c>
    </row>
    <row r="342" hidden="1">
      <c r="A342" s="1"/>
      <c r="B342" s="1"/>
      <c r="C342" s="1"/>
      <c r="D342" s="1"/>
      <c r="E342" s="1"/>
      <c r="F342" s="1"/>
      <c r="G342" s="1"/>
      <c r="H342" s="1"/>
      <c r="I342" s="1"/>
      <c r="J342" s="1"/>
      <c r="K342" s="1"/>
      <c r="L342" s="1"/>
      <c r="M342" s="1"/>
      <c r="N342" s="1"/>
      <c r="O342" s="1"/>
      <c r="P342" s="1"/>
      <c r="Q342" s="1"/>
      <c r="R342" s="1"/>
      <c r="S342" s="1"/>
      <c r="T342" s="1"/>
      <c r="U342" s="5"/>
      <c r="V342" s="6"/>
      <c r="W342" s="6"/>
      <c r="X342" s="6"/>
      <c r="Y342" s="6"/>
      <c r="Z342" s="6"/>
      <c r="AA342" s="6"/>
      <c r="AB342" s="5"/>
      <c r="AC342" s="174">
        <f>IFERROR(__xludf.DUMMYFUNCTION("""COMPUTED_VALUE"""),45548.66666666667)</f>
        <v>45548.66667</v>
      </c>
      <c r="AD342" s="175">
        <f>IFERROR(__xludf.DUMMYFUNCTION("""COMPUTED_VALUE"""),524.62)</f>
        <v>524.62</v>
      </c>
    </row>
    <row r="343" hidden="1">
      <c r="A343" s="1"/>
      <c r="B343" s="1"/>
      <c r="C343" s="1"/>
      <c r="D343" s="1"/>
      <c r="E343" s="1"/>
      <c r="F343" s="1"/>
      <c r="G343" s="1"/>
      <c r="H343" s="1"/>
      <c r="I343" s="1"/>
      <c r="J343" s="1"/>
      <c r="K343" s="1"/>
      <c r="L343" s="1"/>
      <c r="M343" s="1"/>
      <c r="N343" s="1"/>
      <c r="O343" s="1"/>
      <c r="P343" s="1"/>
      <c r="Q343" s="1"/>
      <c r="R343" s="1"/>
      <c r="S343" s="1"/>
      <c r="T343" s="1"/>
      <c r="U343" s="5"/>
      <c r="V343" s="6"/>
      <c r="W343" s="6"/>
      <c r="X343" s="6"/>
      <c r="Y343" s="6"/>
      <c r="Z343" s="6"/>
      <c r="AA343" s="6"/>
      <c r="AB343" s="5"/>
      <c r="AC343" s="174">
        <f>IFERROR(__xludf.DUMMYFUNCTION("""COMPUTED_VALUE"""),45555.66666666667)</f>
        <v>45555.66667</v>
      </c>
      <c r="AD343" s="175">
        <f>IFERROR(__xludf.DUMMYFUNCTION("""COMPUTED_VALUE"""),561.35)</f>
        <v>561.35</v>
      </c>
    </row>
    <row r="344" hidden="1">
      <c r="A344" s="1"/>
      <c r="B344" s="1"/>
      <c r="C344" s="1"/>
      <c r="D344" s="1"/>
      <c r="E344" s="1"/>
      <c r="F344" s="1"/>
      <c r="G344" s="1"/>
      <c r="H344" s="1"/>
      <c r="I344" s="1"/>
      <c r="J344" s="1"/>
      <c r="K344" s="1"/>
      <c r="L344" s="1"/>
      <c r="M344" s="1"/>
      <c r="N344" s="1"/>
      <c r="O344" s="1"/>
      <c r="P344" s="1"/>
      <c r="Q344" s="1"/>
      <c r="R344" s="1"/>
      <c r="S344" s="1"/>
      <c r="T344" s="1"/>
      <c r="U344" s="5"/>
      <c r="V344" s="6"/>
      <c r="W344" s="6"/>
      <c r="X344" s="6"/>
      <c r="Y344" s="6"/>
      <c r="Z344" s="6"/>
      <c r="AA344" s="6"/>
      <c r="AB344" s="5"/>
      <c r="AC344" s="174">
        <f>IFERROR(__xludf.DUMMYFUNCTION("""COMPUTED_VALUE"""),45562.66666666667)</f>
        <v>45562.66667</v>
      </c>
      <c r="AD344" s="175">
        <f>IFERROR(__xludf.DUMMYFUNCTION("""COMPUTED_VALUE"""),567.36)</f>
        <v>567.36</v>
      </c>
    </row>
    <row r="345" hidden="1">
      <c r="A345" s="1"/>
      <c r="B345" s="1"/>
      <c r="C345" s="1"/>
      <c r="D345" s="1"/>
      <c r="E345" s="1"/>
      <c r="F345" s="1"/>
      <c r="G345" s="1"/>
      <c r="H345" s="1"/>
      <c r="I345" s="1"/>
      <c r="J345" s="1"/>
      <c r="K345" s="1"/>
      <c r="L345" s="1"/>
      <c r="M345" s="1"/>
      <c r="N345" s="1"/>
      <c r="O345" s="1"/>
      <c r="P345" s="1"/>
      <c r="Q345" s="1"/>
      <c r="R345" s="1"/>
      <c r="S345" s="1"/>
      <c r="T345" s="1"/>
      <c r="U345" s="5"/>
      <c r="V345" s="6"/>
      <c r="W345" s="6"/>
      <c r="X345" s="6"/>
      <c r="Y345" s="6"/>
      <c r="Z345" s="6"/>
      <c r="AA345" s="6"/>
      <c r="AB345" s="5"/>
      <c r="AC345" s="174">
        <f>IFERROR(__xludf.DUMMYFUNCTION("""COMPUTED_VALUE"""),45569.66666666667)</f>
        <v>45569.66667</v>
      </c>
      <c r="AD345" s="175">
        <f>IFERROR(__xludf.DUMMYFUNCTION("""COMPUTED_VALUE"""),595.94)</f>
        <v>595.94</v>
      </c>
    </row>
    <row r="346" hidden="1">
      <c r="A346" s="1"/>
      <c r="B346" s="1"/>
      <c r="C346" s="1"/>
      <c r="D346" s="1"/>
      <c r="E346" s="1"/>
      <c r="F346" s="1"/>
      <c r="G346" s="1"/>
      <c r="H346" s="1"/>
      <c r="I346" s="1"/>
      <c r="J346" s="1"/>
      <c r="K346" s="1"/>
      <c r="L346" s="1"/>
      <c r="M346" s="1"/>
      <c r="N346" s="1"/>
      <c r="O346" s="1"/>
      <c r="P346" s="1"/>
      <c r="Q346" s="1"/>
      <c r="R346" s="1"/>
      <c r="S346" s="1"/>
      <c r="T346" s="1"/>
      <c r="U346" s="5"/>
      <c r="V346" s="6"/>
      <c r="W346" s="6"/>
      <c r="X346" s="6"/>
      <c r="Y346" s="6"/>
      <c r="Z346" s="6"/>
      <c r="AA346" s="6"/>
      <c r="AB346" s="5"/>
      <c r="AC346" s="174">
        <f>IFERROR(__xludf.DUMMYFUNCTION("""COMPUTED_VALUE"""),45576.66666666667)</f>
        <v>45576.66667</v>
      </c>
      <c r="AD346" s="175">
        <f>IFERROR(__xludf.DUMMYFUNCTION("""COMPUTED_VALUE"""),589.95)</f>
        <v>589.95</v>
      </c>
    </row>
    <row r="347" hidden="1">
      <c r="A347" s="1"/>
      <c r="B347" s="1"/>
      <c r="C347" s="1"/>
      <c r="D347" s="1"/>
      <c r="E347" s="1"/>
      <c r="F347" s="1"/>
      <c r="G347" s="1"/>
      <c r="H347" s="1"/>
      <c r="I347" s="1"/>
      <c r="J347" s="1"/>
      <c r="K347" s="1"/>
      <c r="L347" s="1"/>
      <c r="M347" s="1"/>
      <c r="N347" s="1"/>
      <c r="O347" s="1"/>
      <c r="P347" s="1"/>
      <c r="Q347" s="1"/>
      <c r="R347" s="1"/>
      <c r="S347" s="1"/>
      <c r="T347" s="1"/>
      <c r="U347" s="5"/>
      <c r="V347" s="6"/>
      <c r="W347" s="6"/>
      <c r="X347" s="6"/>
      <c r="Y347" s="6"/>
      <c r="Z347" s="6"/>
      <c r="AA347" s="6"/>
      <c r="AB347" s="5"/>
      <c r="AC347" s="174">
        <f>IFERROR(__xludf.DUMMYFUNCTION("""COMPUTED_VALUE"""),45583.66666666667)</f>
        <v>45583.66667</v>
      </c>
      <c r="AD347" s="175">
        <f>IFERROR(__xludf.DUMMYFUNCTION("""COMPUTED_VALUE"""),576.47)</f>
        <v>576.47</v>
      </c>
    </row>
    <row r="348" hidden="1">
      <c r="A348" s="1"/>
      <c r="B348" s="1"/>
      <c r="C348" s="1"/>
      <c r="D348" s="1"/>
      <c r="E348" s="1"/>
      <c r="F348" s="1"/>
      <c r="G348" s="1"/>
      <c r="H348" s="1"/>
      <c r="I348" s="1"/>
      <c r="J348" s="1"/>
      <c r="K348" s="1"/>
      <c r="L348" s="1"/>
      <c r="M348" s="1"/>
      <c r="N348" s="1"/>
      <c r="O348" s="1"/>
      <c r="P348" s="1"/>
      <c r="Q348" s="1"/>
      <c r="R348" s="1"/>
      <c r="S348" s="1"/>
      <c r="T348" s="1"/>
      <c r="U348" s="5"/>
      <c r="V348" s="6"/>
      <c r="W348" s="6"/>
      <c r="X348" s="6"/>
      <c r="Y348" s="6"/>
      <c r="Z348" s="6"/>
      <c r="AA348" s="6"/>
      <c r="AB348" s="5"/>
      <c r="AC348" s="174">
        <f>IFERROR(__xludf.DUMMYFUNCTION("""COMPUTED_VALUE"""),45590.66666666667)</f>
        <v>45590.66667</v>
      </c>
      <c r="AD348" s="175">
        <f>IFERROR(__xludf.DUMMYFUNCTION("""COMPUTED_VALUE"""),573.25)</f>
        <v>573.25</v>
      </c>
    </row>
    <row r="349" hidden="1">
      <c r="A349" s="1"/>
      <c r="B349" s="1"/>
      <c r="C349" s="1"/>
      <c r="D349" s="1"/>
      <c r="E349" s="1"/>
      <c r="F349" s="1"/>
      <c r="G349" s="1"/>
      <c r="H349" s="1"/>
      <c r="I349" s="1"/>
      <c r="J349" s="1"/>
      <c r="K349" s="1"/>
      <c r="L349" s="1"/>
      <c r="M349" s="1"/>
      <c r="N349" s="1"/>
      <c r="O349" s="1"/>
      <c r="P349" s="1"/>
      <c r="Q349" s="1"/>
      <c r="R349" s="1"/>
      <c r="S349" s="1"/>
      <c r="T349" s="1"/>
      <c r="U349" s="5"/>
      <c r="V349" s="6"/>
      <c r="W349" s="6"/>
      <c r="X349" s="6"/>
      <c r="Y349" s="6"/>
      <c r="Z349" s="6"/>
      <c r="AA349" s="6"/>
      <c r="AB349" s="5"/>
      <c r="AC349" s="174">
        <f>IFERROR(__xludf.DUMMYFUNCTION("""COMPUTED_VALUE"""),45597.66666666667)</f>
        <v>45597.66667</v>
      </c>
      <c r="AD349" s="175">
        <f>IFERROR(__xludf.DUMMYFUNCTION("""COMPUTED_VALUE"""),567.16)</f>
        <v>567.16</v>
      </c>
    </row>
    <row r="350" hidden="1">
      <c r="A350" s="1"/>
      <c r="B350" s="1"/>
      <c r="C350" s="1"/>
      <c r="D350" s="1"/>
      <c r="E350" s="1"/>
      <c r="F350" s="1"/>
      <c r="G350" s="1"/>
      <c r="H350" s="1"/>
      <c r="I350" s="1"/>
      <c r="J350" s="1"/>
      <c r="K350" s="1"/>
      <c r="L350" s="1"/>
      <c r="M350" s="1"/>
      <c r="N350" s="1"/>
      <c r="O350" s="1"/>
      <c r="P350" s="1"/>
      <c r="Q350" s="1"/>
      <c r="R350" s="1"/>
      <c r="S350" s="1"/>
      <c r="T350" s="1"/>
      <c r="U350" s="5"/>
      <c r="V350" s="6"/>
      <c r="W350" s="6"/>
      <c r="X350" s="6"/>
      <c r="Y350" s="6"/>
      <c r="Z350" s="6"/>
      <c r="AA350" s="6"/>
      <c r="AB350" s="5"/>
      <c r="AC350" s="174">
        <f>IFERROR(__xludf.DUMMYFUNCTION("""COMPUTED_VALUE"""),45604.66666666667)</f>
        <v>45604.66667</v>
      </c>
      <c r="AD350" s="175">
        <f>IFERROR(__xludf.DUMMYFUNCTION("""COMPUTED_VALUE"""),589.34)</f>
        <v>589.34</v>
      </c>
    </row>
    <row r="351" hidden="1">
      <c r="A351" s="1"/>
      <c r="B351" s="1"/>
      <c r="C351" s="1"/>
      <c r="D351" s="1"/>
      <c r="E351" s="1"/>
      <c r="F351" s="1"/>
      <c r="G351" s="1"/>
      <c r="H351" s="1"/>
      <c r="I351" s="1"/>
      <c r="J351" s="1"/>
      <c r="K351" s="1"/>
      <c r="L351" s="1"/>
      <c r="M351" s="1"/>
      <c r="N351" s="1"/>
      <c r="O351" s="1"/>
      <c r="P351" s="1"/>
      <c r="Q351" s="1"/>
      <c r="R351" s="1"/>
      <c r="S351" s="1"/>
      <c r="T351" s="1"/>
      <c r="U351" s="5"/>
      <c r="V351" s="6"/>
      <c r="W351" s="6"/>
      <c r="X351" s="6"/>
      <c r="Y351" s="6"/>
      <c r="Z351" s="6"/>
      <c r="AA351" s="6"/>
      <c r="AB351" s="5"/>
      <c r="AC351" s="174">
        <f>IFERROR(__xludf.DUMMYFUNCTION("""COMPUTED_VALUE"""),45611.66666666667)</f>
        <v>45611.66667</v>
      </c>
      <c r="AD351" s="175">
        <f>IFERROR(__xludf.DUMMYFUNCTION("""COMPUTED_VALUE"""),554.08)</f>
        <v>554.08</v>
      </c>
    </row>
    <row r="352" hidden="1">
      <c r="A352" s="1"/>
      <c r="B352" s="1"/>
      <c r="C352" s="1"/>
      <c r="D352" s="1"/>
      <c r="E352" s="1"/>
      <c r="F352" s="1"/>
      <c r="G352" s="1"/>
      <c r="H352" s="1"/>
      <c r="I352" s="1"/>
      <c r="J352" s="1"/>
      <c r="K352" s="1"/>
      <c r="L352" s="1"/>
      <c r="M352" s="1"/>
      <c r="N352" s="1"/>
      <c r="O352" s="1"/>
      <c r="P352" s="1"/>
      <c r="Q352" s="1"/>
      <c r="R352" s="1"/>
      <c r="S352" s="1"/>
      <c r="T352" s="1"/>
      <c r="U352" s="5"/>
      <c r="V352" s="6"/>
      <c r="W352" s="6"/>
      <c r="X352" s="6"/>
      <c r="Y352" s="6"/>
      <c r="Z352" s="6"/>
      <c r="AA352" s="6"/>
      <c r="AB352" s="5"/>
      <c r="AC352" s="174">
        <f>IFERROR(__xludf.DUMMYFUNCTION("""COMPUTED_VALUE"""),45618.66666666667)</f>
        <v>45618.66667</v>
      </c>
      <c r="AD352" s="175">
        <f>IFERROR(__xludf.DUMMYFUNCTION("""COMPUTED_VALUE"""),559.14)</f>
        <v>559.14</v>
      </c>
    </row>
    <row r="353" hidden="1">
      <c r="A353" s="1"/>
      <c r="B353" s="1"/>
      <c r="C353" s="1"/>
      <c r="D353" s="1"/>
      <c r="E353" s="1"/>
      <c r="F353" s="1"/>
      <c r="G353" s="1"/>
      <c r="H353" s="1"/>
      <c r="I353" s="1"/>
      <c r="J353" s="1"/>
      <c r="K353" s="1"/>
      <c r="L353" s="1"/>
      <c r="M353" s="1"/>
      <c r="N353" s="1"/>
      <c r="O353" s="1"/>
      <c r="P353" s="1"/>
      <c r="Q353" s="1"/>
      <c r="R353" s="1"/>
      <c r="S353" s="1"/>
      <c r="T353" s="1"/>
      <c r="U353" s="5"/>
      <c r="V353" s="6"/>
      <c r="W353" s="6"/>
      <c r="X353" s="6"/>
      <c r="Y353" s="6"/>
      <c r="Z353" s="6"/>
      <c r="AA353" s="6"/>
      <c r="AB353" s="5"/>
      <c r="AC353" s="174">
        <f>IFERROR(__xludf.DUMMYFUNCTION("""COMPUTED_VALUE"""),45625.54513888889)</f>
        <v>45625.54514</v>
      </c>
      <c r="AD353" s="175">
        <f>IFERROR(__xludf.DUMMYFUNCTION("""COMPUTED_VALUE"""),574.32)</f>
        <v>574.32</v>
      </c>
    </row>
    <row r="354" hidden="1">
      <c r="A354" s="1"/>
      <c r="B354" s="1"/>
      <c r="C354" s="1"/>
      <c r="D354" s="1"/>
      <c r="E354" s="1"/>
      <c r="F354" s="1"/>
      <c r="G354" s="1"/>
      <c r="H354" s="1"/>
      <c r="I354" s="1"/>
      <c r="J354" s="1"/>
      <c r="K354" s="1"/>
      <c r="L354" s="1"/>
      <c r="M354" s="1"/>
      <c r="N354" s="1"/>
      <c r="O354" s="1"/>
      <c r="P354" s="1"/>
      <c r="Q354" s="1"/>
      <c r="R354" s="1"/>
      <c r="S354" s="1"/>
      <c r="T354" s="1"/>
      <c r="U354" s="5"/>
      <c r="V354" s="6"/>
      <c r="W354" s="6"/>
      <c r="X354" s="6"/>
      <c r="Y354" s="6"/>
      <c r="Z354" s="6"/>
      <c r="AA354" s="6"/>
      <c r="AB354" s="5"/>
      <c r="AC354" s="174">
        <f>IFERROR(__xludf.DUMMYFUNCTION("""COMPUTED_VALUE"""),45632.66666666667)</f>
        <v>45632.66667</v>
      </c>
      <c r="AD354" s="175">
        <f>IFERROR(__xludf.DUMMYFUNCTION("""COMPUTED_VALUE"""),623.77)</f>
        <v>623.77</v>
      </c>
    </row>
    <row r="355" hidden="1">
      <c r="A355" s="1"/>
      <c r="B355" s="1"/>
      <c r="C355" s="1"/>
      <c r="D355" s="1"/>
      <c r="E355" s="1"/>
      <c r="F355" s="1"/>
      <c r="G355" s="1"/>
      <c r="H355" s="1"/>
      <c r="I355" s="1"/>
      <c r="J355" s="1"/>
      <c r="K355" s="1"/>
      <c r="L355" s="1"/>
      <c r="M355" s="1"/>
      <c r="N355" s="1"/>
      <c r="O355" s="1"/>
      <c r="P355" s="1"/>
      <c r="Q355" s="1"/>
      <c r="R355" s="1"/>
      <c r="S355" s="1"/>
      <c r="T355" s="1"/>
      <c r="U355" s="5"/>
      <c r="V355" s="6"/>
      <c r="W355" s="6"/>
      <c r="X355" s="6"/>
      <c r="Y355" s="6"/>
      <c r="Z355" s="6"/>
      <c r="AA355" s="6"/>
      <c r="AB355" s="5"/>
      <c r="AC355" s="174">
        <f>IFERROR(__xludf.DUMMYFUNCTION("""COMPUTED_VALUE"""),45639.66666666667)</f>
        <v>45639.66667</v>
      </c>
      <c r="AD355" s="175">
        <f>IFERROR(__xludf.DUMMYFUNCTION("""COMPUTED_VALUE"""),620.35)</f>
        <v>620.35</v>
      </c>
    </row>
    <row r="356" hidden="1">
      <c r="A356" s="1"/>
      <c r="B356" s="1"/>
      <c r="C356" s="1"/>
      <c r="D356" s="1"/>
      <c r="E356" s="1"/>
      <c r="F356" s="1"/>
      <c r="G356" s="1"/>
      <c r="H356" s="1"/>
      <c r="I356" s="1"/>
      <c r="J356" s="1"/>
      <c r="K356" s="1"/>
      <c r="L356" s="1"/>
      <c r="M356" s="1"/>
      <c r="N356" s="1"/>
      <c r="O356" s="1"/>
      <c r="P356" s="1"/>
      <c r="Q356" s="1"/>
      <c r="R356" s="1"/>
      <c r="S356" s="1"/>
      <c r="T356" s="1"/>
      <c r="U356" s="5"/>
      <c r="V356" s="6"/>
      <c r="W356" s="6"/>
      <c r="X356" s="6"/>
      <c r="Y356" s="6"/>
      <c r="Z356" s="6"/>
      <c r="AA356" s="6"/>
      <c r="AB356" s="5"/>
      <c r="AC356" s="174">
        <f>IFERROR(__xludf.DUMMYFUNCTION("""COMPUTED_VALUE"""),45646.66666666667)</f>
        <v>45646.66667</v>
      </c>
      <c r="AD356" s="175">
        <f>IFERROR(__xludf.DUMMYFUNCTION("""COMPUTED_VALUE"""),585.25)</f>
        <v>585.25</v>
      </c>
    </row>
    <row r="357" hidden="1">
      <c r="A357" s="1"/>
      <c r="B357" s="1"/>
      <c r="C357" s="1"/>
      <c r="D357" s="1"/>
      <c r="E357" s="1"/>
      <c r="F357" s="1"/>
      <c r="G357" s="1"/>
      <c r="H357" s="1"/>
      <c r="I357" s="1"/>
      <c r="J357" s="1"/>
      <c r="K357" s="1"/>
      <c r="L357" s="1"/>
      <c r="M357" s="1"/>
      <c r="N357" s="1"/>
      <c r="O357" s="1"/>
      <c r="P357" s="1"/>
      <c r="Q357" s="1"/>
      <c r="R357" s="1"/>
      <c r="S357" s="1"/>
      <c r="T357" s="1"/>
      <c r="U357" s="5"/>
      <c r="V357" s="6"/>
      <c r="W357" s="6"/>
      <c r="X357" s="6"/>
      <c r="Y357" s="6"/>
      <c r="Z357" s="6"/>
      <c r="AA357" s="6"/>
      <c r="AB357" s="5"/>
      <c r="AC357" s="174">
        <f>IFERROR(__xludf.DUMMYFUNCTION("""COMPUTED_VALUE"""),45653.66666666667)</f>
        <v>45653.66667</v>
      </c>
      <c r="AD357" s="175">
        <f>IFERROR(__xludf.DUMMYFUNCTION("""COMPUTED_VALUE"""),599.81)</f>
        <v>599.81</v>
      </c>
    </row>
    <row r="358" hidden="1">
      <c r="A358" s="1"/>
      <c r="B358" s="1"/>
      <c r="C358" s="1"/>
      <c r="D358" s="1"/>
      <c r="E358" s="1"/>
      <c r="F358" s="1"/>
      <c r="G358" s="1"/>
      <c r="H358" s="1"/>
      <c r="I358" s="1"/>
      <c r="J358" s="1"/>
      <c r="K358" s="1"/>
      <c r="L358" s="1"/>
      <c r="M358" s="1"/>
      <c r="N358" s="1"/>
      <c r="O358" s="1"/>
      <c r="P358" s="1"/>
      <c r="Q358" s="1"/>
      <c r="R358" s="1"/>
      <c r="S358" s="1"/>
      <c r="T358" s="1"/>
      <c r="U358" s="5"/>
      <c r="V358" s="6"/>
      <c r="W358" s="6"/>
      <c r="X358" s="6"/>
      <c r="Y358" s="6"/>
      <c r="Z358" s="6"/>
      <c r="AA358" s="6"/>
      <c r="AB358" s="5"/>
      <c r="AC358" s="174">
        <f>IFERROR(__xludf.DUMMYFUNCTION("""COMPUTED_VALUE"""),45660.66666666667)</f>
        <v>45660.66667</v>
      </c>
      <c r="AD358" s="175">
        <f>IFERROR(__xludf.DUMMYFUNCTION("""COMPUTED_VALUE"""),604.63)</f>
        <v>604.63</v>
      </c>
    </row>
    <row r="359" hidden="1">
      <c r="A359" s="1"/>
      <c r="B359" s="1"/>
      <c r="C359" s="1"/>
      <c r="D359" s="1"/>
      <c r="E359" s="1"/>
      <c r="F359" s="1"/>
      <c r="G359" s="1"/>
      <c r="H359" s="1"/>
      <c r="I359" s="1"/>
      <c r="J359" s="1"/>
      <c r="K359" s="1"/>
      <c r="L359" s="1"/>
      <c r="M359" s="1"/>
      <c r="N359" s="1"/>
      <c r="O359" s="1"/>
      <c r="P359" s="1"/>
      <c r="Q359" s="1"/>
      <c r="R359" s="1"/>
      <c r="S359" s="1"/>
      <c r="T359" s="1"/>
      <c r="U359" s="5"/>
      <c r="V359" s="6"/>
      <c r="W359" s="6"/>
      <c r="X359" s="6"/>
      <c r="Y359" s="6"/>
      <c r="Z359" s="6"/>
      <c r="AA359" s="6"/>
      <c r="AB359" s="5"/>
      <c r="AC359" s="174">
        <f>IFERROR(__xludf.DUMMYFUNCTION("""COMPUTED_VALUE"""),45667.66666666667)</f>
        <v>45667.66667</v>
      </c>
      <c r="AD359" s="175">
        <f>IFERROR(__xludf.DUMMYFUNCTION("""COMPUTED_VALUE"""),615.86)</f>
        <v>615.86</v>
      </c>
    </row>
    <row r="360" hidden="1">
      <c r="A360" s="1"/>
      <c r="B360" s="1"/>
      <c r="C360" s="1"/>
      <c r="D360" s="1"/>
      <c r="E360" s="1"/>
      <c r="F360" s="1"/>
      <c r="G360" s="1"/>
      <c r="H360" s="1"/>
      <c r="I360" s="1"/>
      <c r="J360" s="1"/>
      <c r="K360" s="1"/>
      <c r="L360" s="1"/>
      <c r="M360" s="1"/>
      <c r="N360" s="1"/>
      <c r="O360" s="1"/>
      <c r="P360" s="1"/>
      <c r="Q360" s="1"/>
      <c r="R360" s="1"/>
      <c r="S360" s="1"/>
      <c r="T360" s="1"/>
      <c r="U360" s="5"/>
      <c r="V360" s="6"/>
      <c r="W360" s="6"/>
      <c r="X360" s="6"/>
      <c r="Y360" s="6"/>
      <c r="Z360" s="6"/>
      <c r="AA360" s="6"/>
      <c r="AB360" s="5"/>
      <c r="AC360" s="174">
        <f>IFERROR(__xludf.DUMMYFUNCTION("""COMPUTED_VALUE"""),45674.66666666667)</f>
        <v>45674.66667</v>
      </c>
      <c r="AD360" s="175">
        <f>IFERROR(__xludf.DUMMYFUNCTION("""COMPUTED_VALUE"""),612.77)</f>
        <v>612.77</v>
      </c>
    </row>
    <row r="361" hidden="1">
      <c r="A361" s="1"/>
      <c r="B361" s="1"/>
      <c r="C361" s="1"/>
      <c r="D361" s="1"/>
      <c r="E361" s="1"/>
      <c r="F361" s="1"/>
      <c r="G361" s="1"/>
      <c r="H361" s="1"/>
      <c r="I361" s="1"/>
      <c r="J361" s="1"/>
      <c r="K361" s="1"/>
      <c r="L361" s="1"/>
      <c r="M361" s="1"/>
      <c r="N361" s="1"/>
      <c r="O361" s="1"/>
      <c r="P361" s="1"/>
      <c r="Q361" s="1"/>
      <c r="R361" s="1"/>
      <c r="S361" s="1"/>
      <c r="T361" s="1"/>
      <c r="U361" s="5"/>
      <c r="V361" s="6"/>
      <c r="W361" s="6"/>
      <c r="X361" s="6"/>
      <c r="Y361" s="6"/>
      <c r="Z361" s="6"/>
      <c r="AA361" s="6"/>
      <c r="AB361" s="5"/>
      <c r="AC361" s="174">
        <f>IFERROR(__xludf.DUMMYFUNCTION("""COMPUTED_VALUE"""),45681.66666666667)</f>
        <v>45681.66667</v>
      </c>
      <c r="AD361" s="175">
        <f>IFERROR(__xludf.DUMMYFUNCTION("""COMPUTED_VALUE"""),647.49)</f>
        <v>647.49</v>
      </c>
    </row>
    <row r="362" hidden="1">
      <c r="A362" s="1"/>
      <c r="B362" s="1"/>
      <c r="C362" s="1"/>
      <c r="D362" s="1"/>
      <c r="E362" s="1"/>
      <c r="F362" s="1"/>
      <c r="G362" s="1"/>
      <c r="H362" s="1"/>
      <c r="I362" s="1"/>
      <c r="J362" s="1"/>
      <c r="K362" s="1"/>
      <c r="L362" s="1"/>
      <c r="M362" s="1"/>
      <c r="N362" s="1"/>
      <c r="O362" s="1"/>
      <c r="P362" s="1"/>
      <c r="Q362" s="1"/>
      <c r="R362" s="1"/>
      <c r="S362" s="1"/>
      <c r="T362" s="1"/>
      <c r="U362" s="5"/>
      <c r="V362" s="6"/>
      <c r="W362" s="6"/>
      <c r="X362" s="6"/>
      <c r="Y362" s="6"/>
      <c r="Z362" s="6"/>
      <c r="AA362" s="6"/>
      <c r="AB362" s="5"/>
      <c r="AC362" s="174">
        <f>IFERROR(__xludf.DUMMYFUNCTION("""COMPUTED_VALUE"""),45688.66666666667)</f>
        <v>45688.66667</v>
      </c>
      <c r="AD362" s="175">
        <f>IFERROR(__xludf.DUMMYFUNCTION("""COMPUTED_VALUE"""),689.18)</f>
        <v>689.18</v>
      </c>
    </row>
    <row r="363" hidden="1">
      <c r="A363" s="1"/>
      <c r="B363" s="1"/>
      <c r="C363" s="1"/>
      <c r="D363" s="1"/>
      <c r="E363" s="1"/>
      <c r="F363" s="1"/>
      <c r="G363" s="1"/>
      <c r="H363" s="1"/>
      <c r="I363" s="1"/>
      <c r="J363" s="1"/>
      <c r="K363" s="1"/>
      <c r="L363" s="1"/>
      <c r="M363" s="1"/>
      <c r="N363" s="1"/>
      <c r="O363" s="1"/>
      <c r="P363" s="1"/>
      <c r="Q363" s="1"/>
      <c r="R363" s="1"/>
      <c r="S363" s="1"/>
      <c r="T363" s="1"/>
      <c r="U363" s="5"/>
      <c r="V363" s="6"/>
      <c r="W363" s="6"/>
      <c r="X363" s="6"/>
      <c r="Y363" s="6"/>
      <c r="Z363" s="6"/>
      <c r="AA363" s="6"/>
      <c r="AB363" s="5"/>
      <c r="AC363" s="174">
        <f>IFERROR(__xludf.DUMMYFUNCTION("""COMPUTED_VALUE"""),45695.66666666667)</f>
        <v>45695.66667</v>
      </c>
      <c r="AD363" s="175">
        <f>IFERROR(__xludf.DUMMYFUNCTION("""COMPUTED_VALUE"""),714.52)</f>
        <v>714.52</v>
      </c>
    </row>
    <row r="364" hidden="1">
      <c r="A364" s="1"/>
      <c r="B364" s="1"/>
      <c r="C364" s="1"/>
      <c r="D364" s="1"/>
      <c r="E364" s="1"/>
      <c r="F364" s="1"/>
      <c r="G364" s="1"/>
      <c r="H364" s="1"/>
      <c r="I364" s="1"/>
      <c r="J364" s="1"/>
      <c r="K364" s="1"/>
      <c r="L364" s="1"/>
      <c r="M364" s="1"/>
      <c r="N364" s="1"/>
      <c r="O364" s="1"/>
      <c r="P364" s="1"/>
      <c r="Q364" s="1"/>
      <c r="R364" s="1"/>
      <c r="S364" s="1"/>
      <c r="T364" s="1"/>
      <c r="U364" s="5"/>
      <c r="V364" s="6"/>
      <c r="W364" s="6"/>
      <c r="X364" s="6"/>
      <c r="Y364" s="6"/>
      <c r="Z364" s="6"/>
      <c r="AA364" s="6"/>
      <c r="AB364" s="5"/>
      <c r="AC364" s="174">
        <f>IFERROR(__xludf.DUMMYFUNCTION("""COMPUTED_VALUE"""),45702.66666666667)</f>
        <v>45702.66667</v>
      </c>
      <c r="AD364" s="175">
        <f>IFERROR(__xludf.DUMMYFUNCTION("""COMPUTED_VALUE"""),736.67)</f>
        <v>736.67</v>
      </c>
    </row>
    <row r="365" hidden="1">
      <c r="A365" s="1"/>
      <c r="B365" s="1"/>
      <c r="C365" s="1"/>
      <c r="D365" s="1"/>
      <c r="E365" s="1"/>
      <c r="F365" s="1"/>
      <c r="G365" s="1"/>
      <c r="H365" s="1"/>
      <c r="I365" s="1"/>
      <c r="J365" s="1"/>
      <c r="K365" s="1"/>
      <c r="L365" s="1"/>
      <c r="M365" s="1"/>
      <c r="N365" s="1"/>
      <c r="O365" s="1"/>
      <c r="P365" s="1"/>
      <c r="Q365" s="1"/>
      <c r="R365" s="1"/>
      <c r="S365" s="1"/>
      <c r="T365" s="1"/>
      <c r="U365" s="5"/>
      <c r="V365" s="6"/>
      <c r="W365" s="6"/>
      <c r="X365" s="6"/>
      <c r="Y365" s="6"/>
      <c r="Z365" s="6"/>
      <c r="AA365" s="6"/>
      <c r="AB365" s="5"/>
      <c r="AC365" s="174">
        <f>IFERROR(__xludf.DUMMYFUNCTION("""COMPUTED_VALUE"""),45709.66666666667)</f>
        <v>45709.66667</v>
      </c>
      <c r="AD365" s="175">
        <f>IFERROR(__xludf.DUMMYFUNCTION("""COMPUTED_VALUE"""),683.55)</f>
        <v>683.55</v>
      </c>
    </row>
    <row r="366" hidden="1">
      <c r="A366" s="1"/>
      <c r="B366" s="1"/>
      <c r="C366" s="1"/>
      <c r="D366" s="1"/>
      <c r="E366" s="1"/>
      <c r="F366" s="1"/>
      <c r="G366" s="1"/>
      <c r="H366" s="1"/>
      <c r="I366" s="1"/>
      <c r="J366" s="1"/>
      <c r="K366" s="1"/>
      <c r="L366" s="1"/>
      <c r="M366" s="1"/>
      <c r="N366" s="1"/>
      <c r="O366" s="1"/>
      <c r="P366" s="1"/>
      <c r="Q366" s="1"/>
      <c r="R366" s="1"/>
      <c r="S366" s="1"/>
      <c r="T366" s="1"/>
      <c r="U366" s="5"/>
      <c r="V366" s="6"/>
      <c r="W366" s="6"/>
      <c r="X366" s="6"/>
      <c r="Y366" s="6"/>
      <c r="Z366" s="6"/>
      <c r="AA366" s="6"/>
      <c r="AB366" s="5"/>
      <c r="AC366" s="174">
        <f>IFERROR(__xludf.DUMMYFUNCTION("""COMPUTED_VALUE"""),45716.66666666667)</f>
        <v>45716.66667</v>
      </c>
      <c r="AD366" s="175">
        <f>IFERROR(__xludf.DUMMYFUNCTION("""COMPUTED_VALUE"""),668.2)</f>
        <v>668.2</v>
      </c>
    </row>
    <row r="367" hidden="1">
      <c r="A367" s="1"/>
      <c r="B367" s="1"/>
      <c r="C367" s="1"/>
      <c r="D367" s="1"/>
      <c r="E367" s="1"/>
      <c r="F367" s="1"/>
      <c r="G367" s="1"/>
      <c r="H367" s="1"/>
      <c r="I367" s="1"/>
      <c r="J367" s="1"/>
      <c r="K367" s="1"/>
      <c r="L367" s="1"/>
      <c r="M367" s="1"/>
      <c r="N367" s="1"/>
      <c r="O367" s="1"/>
      <c r="P367" s="1"/>
      <c r="Q367" s="1"/>
      <c r="R367" s="1"/>
      <c r="S367" s="1"/>
      <c r="T367" s="1"/>
      <c r="U367" s="5"/>
      <c r="V367" s="6"/>
      <c r="W367" s="6"/>
      <c r="X367" s="6"/>
      <c r="Y367" s="6"/>
      <c r="Z367" s="6"/>
      <c r="AA367" s="6"/>
      <c r="AB367" s="5"/>
      <c r="AC367" s="174">
        <f>IFERROR(__xludf.DUMMYFUNCTION("""COMPUTED_VALUE"""),45723.66666666667)</f>
        <v>45723.66667</v>
      </c>
      <c r="AD367" s="175">
        <f>IFERROR(__xludf.DUMMYFUNCTION("""COMPUTED_VALUE"""),625.66)</f>
        <v>625.66</v>
      </c>
    </row>
    <row r="368" hidden="1">
      <c r="A368" s="1"/>
      <c r="B368" s="1"/>
      <c r="C368" s="1"/>
      <c r="D368" s="1"/>
      <c r="E368" s="1"/>
      <c r="F368" s="1"/>
      <c r="G368" s="1"/>
      <c r="H368" s="1"/>
      <c r="I368" s="1"/>
      <c r="J368" s="1"/>
      <c r="K368" s="1"/>
      <c r="L368" s="1"/>
      <c r="M368" s="1"/>
      <c r="N368" s="1"/>
      <c r="O368" s="1"/>
      <c r="P368" s="1"/>
      <c r="Q368" s="1"/>
      <c r="R368" s="1"/>
      <c r="S368" s="1"/>
      <c r="T368" s="1"/>
      <c r="U368" s="5"/>
      <c r="V368" s="6"/>
      <c r="W368" s="6"/>
      <c r="X368" s="6"/>
      <c r="Y368" s="6"/>
      <c r="Z368" s="6"/>
      <c r="AA368" s="6"/>
      <c r="AB368" s="5"/>
      <c r="AC368" s="174">
        <f>IFERROR(__xludf.DUMMYFUNCTION("""COMPUTED_VALUE"""),45730.66666666667)</f>
        <v>45730.66667</v>
      </c>
      <c r="AD368" s="175">
        <f>IFERROR(__xludf.DUMMYFUNCTION("""COMPUTED_VALUE"""),607.6)</f>
        <v>607.6</v>
      </c>
    </row>
    <row r="369" hidden="1">
      <c r="A369" s="1"/>
      <c r="B369" s="1"/>
      <c r="C369" s="1"/>
      <c r="D369" s="1"/>
      <c r="E369" s="1"/>
      <c r="F369" s="1"/>
      <c r="G369" s="1"/>
      <c r="H369" s="1"/>
      <c r="I369" s="1"/>
      <c r="J369" s="1"/>
      <c r="K369" s="1"/>
      <c r="L369" s="1"/>
      <c r="M369" s="1"/>
      <c r="N369" s="1"/>
      <c r="O369" s="1"/>
      <c r="P369" s="1"/>
      <c r="Q369" s="1"/>
      <c r="R369" s="1"/>
      <c r="S369" s="1"/>
      <c r="T369" s="1"/>
      <c r="U369" s="5"/>
      <c r="V369" s="6"/>
      <c r="W369" s="6"/>
      <c r="X369" s="6"/>
      <c r="Y369" s="6"/>
      <c r="Z369" s="6"/>
      <c r="AA369" s="6"/>
      <c r="AB369" s="5"/>
      <c r="AC369" s="174">
        <f>IFERROR(__xludf.DUMMYFUNCTION("""COMPUTED_VALUE"""),45737.66666666667)</f>
        <v>45737.66667</v>
      </c>
      <c r="AD369" s="175">
        <f>IFERROR(__xludf.DUMMYFUNCTION("""COMPUTED_VALUE"""),596.25)</f>
        <v>596.25</v>
      </c>
    </row>
    <row r="370" hidden="1">
      <c r="A370" s="1"/>
      <c r="B370" s="1"/>
      <c r="C370" s="1"/>
      <c r="D370" s="1"/>
      <c r="E370" s="1"/>
      <c r="F370" s="1"/>
      <c r="G370" s="1"/>
      <c r="H370" s="1"/>
      <c r="I370" s="1"/>
      <c r="J370" s="1"/>
      <c r="K370" s="1"/>
      <c r="L370" s="1"/>
      <c r="M370" s="1"/>
      <c r="N370" s="1"/>
      <c r="O370" s="1"/>
      <c r="P370" s="1"/>
      <c r="Q370" s="1"/>
      <c r="R370" s="1"/>
      <c r="S370" s="1"/>
      <c r="T370" s="1"/>
      <c r="U370" s="5"/>
      <c r="V370" s="6"/>
      <c r="W370" s="6"/>
      <c r="X370" s="6"/>
      <c r="Y370" s="6"/>
      <c r="Z370" s="6"/>
      <c r="AA370" s="6"/>
      <c r="AB370" s="5"/>
      <c r="AC370" s="174">
        <f>IFERROR(__xludf.DUMMYFUNCTION("""COMPUTED_VALUE"""),45744.66666666667)</f>
        <v>45744.66667</v>
      </c>
      <c r="AD370" s="175">
        <f>IFERROR(__xludf.DUMMYFUNCTION("""COMPUTED_VALUE"""),576.74)</f>
        <v>576.74</v>
      </c>
    </row>
    <row r="371" hidden="1">
      <c r="A371" s="1"/>
      <c r="B371" s="1"/>
      <c r="C371" s="1"/>
      <c r="D371" s="1"/>
      <c r="E371" s="1"/>
      <c r="F371" s="1"/>
      <c r="G371" s="1"/>
      <c r="H371" s="1"/>
      <c r="I371" s="1"/>
      <c r="J371" s="1"/>
      <c r="K371" s="1"/>
      <c r="L371" s="1"/>
      <c r="M371" s="1"/>
      <c r="N371" s="1"/>
      <c r="O371" s="1"/>
      <c r="P371" s="1"/>
      <c r="Q371" s="1"/>
      <c r="R371" s="1"/>
      <c r="S371" s="1"/>
      <c r="T371" s="1"/>
      <c r="U371" s="5"/>
      <c r="V371" s="6"/>
      <c r="W371" s="6"/>
      <c r="X371" s="6"/>
      <c r="Y371" s="6"/>
      <c r="Z371" s="6"/>
      <c r="AA371" s="6"/>
      <c r="AB371" s="5"/>
      <c r="AC371" s="174">
        <f>IFERROR(__xludf.DUMMYFUNCTION("""COMPUTED_VALUE"""),45751.66666666667)</f>
        <v>45751.66667</v>
      </c>
      <c r="AD371" s="175">
        <f>IFERROR(__xludf.DUMMYFUNCTION("""COMPUTED_VALUE"""),504.73)</f>
        <v>504.73</v>
      </c>
    </row>
    <row r="372" hidden="1">
      <c r="A372" s="1"/>
      <c r="B372" s="1"/>
      <c r="C372" s="1"/>
      <c r="D372" s="1"/>
      <c r="E372" s="1"/>
      <c r="F372" s="1"/>
      <c r="G372" s="1"/>
      <c r="H372" s="1"/>
      <c r="I372" s="1"/>
      <c r="J372" s="1"/>
      <c r="K372" s="1"/>
      <c r="L372" s="1"/>
      <c r="M372" s="1"/>
      <c r="N372" s="1"/>
      <c r="O372" s="1"/>
      <c r="P372" s="1"/>
      <c r="Q372" s="1"/>
      <c r="R372" s="1"/>
      <c r="S372" s="1"/>
      <c r="T372" s="1"/>
      <c r="U372" s="5"/>
      <c r="V372" s="6"/>
      <c r="W372" s="6"/>
      <c r="X372" s="6"/>
      <c r="Y372" s="6"/>
      <c r="Z372" s="6"/>
      <c r="AA372" s="6"/>
      <c r="AB372" s="5"/>
      <c r="AC372" s="174">
        <f>IFERROR(__xludf.DUMMYFUNCTION("""COMPUTED_VALUE"""),45758.66666666667)</f>
        <v>45758.66667</v>
      </c>
      <c r="AD372" s="175">
        <f>IFERROR(__xludf.DUMMYFUNCTION("""COMPUTED_VALUE"""),543.57)</f>
        <v>543.57</v>
      </c>
    </row>
    <row r="373" hidden="1">
      <c r="A373" s="1"/>
      <c r="B373" s="1"/>
      <c r="C373" s="1"/>
      <c r="D373" s="1"/>
      <c r="E373" s="1"/>
      <c r="F373" s="1"/>
      <c r="G373" s="1"/>
      <c r="H373" s="1"/>
      <c r="I373" s="1"/>
      <c r="J373" s="1"/>
      <c r="K373" s="1"/>
      <c r="L373" s="1"/>
      <c r="M373" s="1"/>
      <c r="N373" s="1"/>
      <c r="O373" s="1"/>
      <c r="P373" s="1"/>
      <c r="Q373" s="1"/>
      <c r="R373" s="1"/>
      <c r="S373" s="1"/>
      <c r="T373" s="1"/>
      <c r="U373" s="5"/>
      <c r="V373" s="6"/>
      <c r="W373" s="6"/>
      <c r="X373" s="6"/>
      <c r="Y373" s="6"/>
      <c r="Z373" s="6"/>
      <c r="AA373" s="6"/>
      <c r="AB373" s="5"/>
      <c r="AC373" s="174">
        <f>IFERROR(__xludf.DUMMYFUNCTION("""COMPUTED_VALUE"""),45764.66666666667)</f>
        <v>45764.66667</v>
      </c>
      <c r="AD373" s="175">
        <f>IFERROR(__xludf.DUMMYFUNCTION("""COMPUTED_VALUE"""),501.48)</f>
        <v>501.48</v>
      </c>
    </row>
    <row r="374" hidden="1">
      <c r="A374" s="1"/>
      <c r="B374" s="1"/>
      <c r="C374" s="1"/>
      <c r="D374" s="1"/>
      <c r="E374" s="1"/>
      <c r="F374" s="1"/>
      <c r="G374" s="1"/>
      <c r="H374" s="1"/>
      <c r="I374" s="1"/>
      <c r="J374" s="1"/>
      <c r="K374" s="1"/>
      <c r="L374" s="1"/>
      <c r="M374" s="1"/>
      <c r="N374" s="1"/>
      <c r="O374" s="1"/>
      <c r="P374" s="1"/>
      <c r="Q374" s="1"/>
      <c r="R374" s="1"/>
      <c r="S374" s="1"/>
      <c r="T374" s="1"/>
      <c r="U374" s="5"/>
      <c r="V374" s="6"/>
      <c r="W374" s="6"/>
      <c r="X374" s="6"/>
      <c r="Y374" s="6"/>
      <c r="Z374" s="6"/>
      <c r="AA374" s="6"/>
      <c r="AB374" s="5"/>
      <c r="AC374" s="174">
        <f>IFERROR(__xludf.DUMMYFUNCTION("""COMPUTED_VALUE"""),45772.66666666667)</f>
        <v>45772.66667</v>
      </c>
      <c r="AD374" s="175">
        <f>IFERROR(__xludf.DUMMYFUNCTION("""COMPUTED_VALUE"""),547.27)</f>
        <v>547.27</v>
      </c>
    </row>
    <row r="375" hidden="1">
      <c r="A375" s="1"/>
      <c r="B375" s="1"/>
      <c r="C375" s="1"/>
      <c r="D375" s="1"/>
      <c r="E375" s="1"/>
      <c r="F375" s="1"/>
      <c r="G375" s="1"/>
      <c r="H375" s="1"/>
      <c r="I375" s="1"/>
      <c r="J375" s="1"/>
      <c r="K375" s="1"/>
      <c r="L375" s="1"/>
      <c r="M375" s="1"/>
      <c r="N375" s="1"/>
      <c r="O375" s="1"/>
      <c r="P375" s="1"/>
      <c r="Q375" s="1"/>
      <c r="R375" s="1"/>
      <c r="S375" s="1"/>
      <c r="T375" s="1"/>
      <c r="U375" s="5"/>
      <c r="V375" s="6"/>
      <c r="W375" s="6"/>
      <c r="X375" s="6"/>
      <c r="Y375" s="6"/>
      <c r="Z375" s="6"/>
      <c r="AA375" s="6"/>
      <c r="AB375" s="5"/>
      <c r="AC375" s="174">
        <f>IFERROR(__xludf.DUMMYFUNCTION("""COMPUTED_VALUE"""),45779.66666666667)</f>
        <v>45779.66667</v>
      </c>
      <c r="AD375" s="175">
        <f>IFERROR(__xludf.DUMMYFUNCTION("""COMPUTED_VALUE"""),597.02)</f>
        <v>597.02</v>
      </c>
    </row>
    <row r="376" hidden="1">
      <c r="A376" s="1"/>
      <c r="B376" s="1"/>
      <c r="C376" s="1"/>
      <c r="D376" s="1"/>
      <c r="E376" s="1"/>
      <c r="F376" s="1"/>
      <c r="G376" s="1"/>
      <c r="H376" s="1"/>
      <c r="I376" s="1"/>
      <c r="J376" s="1"/>
      <c r="K376" s="1"/>
      <c r="L376" s="1"/>
      <c r="M376" s="1"/>
      <c r="N376" s="1"/>
      <c r="O376" s="1"/>
      <c r="P376" s="1"/>
      <c r="Q376" s="1"/>
      <c r="R376" s="1"/>
      <c r="S376" s="1"/>
      <c r="T376" s="1"/>
      <c r="U376" s="5"/>
      <c r="V376" s="6"/>
      <c r="W376" s="6"/>
      <c r="X376" s="6"/>
      <c r="Y376" s="6"/>
      <c r="Z376" s="6"/>
      <c r="AA376" s="6"/>
      <c r="AB376" s="5"/>
      <c r="AC376" s="174">
        <f>IFERROR(__xludf.DUMMYFUNCTION("""COMPUTED_VALUE"""),45786.66666666667)</f>
        <v>45786.66667</v>
      </c>
      <c r="AD376" s="175">
        <f>IFERROR(__xludf.DUMMYFUNCTION("""COMPUTED_VALUE"""),592.49)</f>
        <v>592.49</v>
      </c>
    </row>
    <row r="377" hidden="1">
      <c r="A377" s="1"/>
      <c r="B377" s="1"/>
      <c r="C377" s="1"/>
      <c r="D377" s="1"/>
      <c r="E377" s="1"/>
      <c r="F377" s="1"/>
      <c r="G377" s="1"/>
      <c r="H377" s="1"/>
      <c r="I377" s="1"/>
      <c r="J377" s="1"/>
      <c r="K377" s="1"/>
      <c r="L377" s="1"/>
      <c r="M377" s="1"/>
      <c r="N377" s="1"/>
      <c r="O377" s="1"/>
      <c r="P377" s="1"/>
      <c r="Q377" s="1"/>
      <c r="R377" s="1"/>
      <c r="S377" s="1"/>
      <c r="T377" s="1"/>
      <c r="U377" s="5"/>
      <c r="V377" s="6"/>
      <c r="W377" s="6"/>
      <c r="X377" s="6"/>
      <c r="Y377" s="6"/>
      <c r="Z377" s="6"/>
      <c r="AA377" s="6"/>
      <c r="AB377" s="5"/>
      <c r="AC377" s="174">
        <f>IFERROR(__xludf.DUMMYFUNCTION("""COMPUTED_VALUE"""),45793.66666666667)</f>
        <v>45793.66667</v>
      </c>
      <c r="AD377" s="175">
        <f>IFERROR(__xludf.DUMMYFUNCTION("""COMPUTED_VALUE"""),640.34)</f>
        <v>640.34</v>
      </c>
    </row>
    <row r="378" hidden="1">
      <c r="A378" s="1"/>
      <c r="B378" s="1"/>
      <c r="C378" s="1"/>
      <c r="D378" s="1"/>
      <c r="E378" s="1"/>
      <c r="F378" s="1"/>
      <c r="G378" s="1"/>
      <c r="H378" s="1"/>
      <c r="I378" s="1"/>
      <c r="J378" s="1"/>
      <c r="K378" s="1"/>
      <c r="L378" s="1"/>
      <c r="M378" s="1"/>
      <c r="N378" s="1"/>
      <c r="O378" s="1"/>
      <c r="P378" s="1"/>
      <c r="Q378" s="1"/>
      <c r="R378" s="1"/>
      <c r="S378" s="1"/>
      <c r="T378" s="1"/>
      <c r="U378" s="5"/>
      <c r="V378" s="6"/>
      <c r="W378" s="6"/>
      <c r="X378" s="6"/>
      <c r="Y378" s="6"/>
      <c r="Z378" s="6"/>
      <c r="AA378" s="6"/>
      <c r="AB378" s="5"/>
      <c r="AC378" s="174">
        <f>IFERROR(__xludf.DUMMYFUNCTION("""COMPUTED_VALUE"""),45800.66666666667)</f>
        <v>45800.66667</v>
      </c>
      <c r="AD378" s="175">
        <f>IFERROR(__xludf.DUMMYFUNCTION("""COMPUTED_VALUE"""),627.06)</f>
        <v>627.06</v>
      </c>
    </row>
    <row r="379" hidden="1">
      <c r="A379" s="1"/>
      <c r="B379" s="1"/>
      <c r="C379" s="1"/>
      <c r="D379" s="1"/>
      <c r="E379" s="1"/>
      <c r="F379" s="1"/>
      <c r="G379" s="1"/>
      <c r="H379" s="1"/>
      <c r="I379" s="1"/>
      <c r="J379" s="1"/>
      <c r="K379" s="1"/>
      <c r="L379" s="1"/>
      <c r="M379" s="1"/>
      <c r="N379" s="1"/>
      <c r="O379" s="1"/>
      <c r="P379" s="1"/>
      <c r="Q379" s="1"/>
      <c r="R379" s="1"/>
      <c r="S379" s="1"/>
      <c r="T379" s="1"/>
      <c r="U379" s="5"/>
      <c r="V379" s="6"/>
      <c r="W379" s="6"/>
      <c r="X379" s="6"/>
      <c r="Y379" s="6"/>
      <c r="Z379" s="6"/>
      <c r="AA379" s="6"/>
      <c r="AB379" s="5"/>
      <c r="AC379" s="174">
        <f>IFERROR(__xludf.DUMMYFUNCTION("""COMPUTED_VALUE"""),45807.66666666667)</f>
        <v>45807.66667</v>
      </c>
      <c r="AD379" s="175">
        <f>IFERROR(__xludf.DUMMYFUNCTION("""COMPUTED_VALUE"""),647.49)</f>
        <v>647.49</v>
      </c>
    </row>
    <row r="380" hidden="1">
      <c r="A380" s="1"/>
      <c r="B380" s="1"/>
      <c r="C380" s="1"/>
      <c r="D380" s="1"/>
      <c r="E380" s="1"/>
      <c r="F380" s="1"/>
      <c r="G380" s="1"/>
      <c r="H380" s="1"/>
      <c r="I380" s="1"/>
      <c r="J380" s="1"/>
      <c r="K380" s="1"/>
      <c r="L380" s="1"/>
      <c r="M380" s="1"/>
      <c r="N380" s="1"/>
      <c r="O380" s="1"/>
      <c r="P380" s="1"/>
      <c r="Q380" s="1"/>
      <c r="R380" s="1"/>
      <c r="S380" s="1"/>
      <c r="T380" s="1"/>
      <c r="U380" s="5"/>
      <c r="V380" s="6"/>
      <c r="W380" s="6"/>
      <c r="X380" s="6"/>
      <c r="Y380" s="6"/>
      <c r="Z380" s="6"/>
      <c r="AA380" s="6"/>
      <c r="AB380" s="5"/>
      <c r="AC380" s="174">
        <f>IFERROR(__xludf.DUMMYFUNCTION("""COMPUTED_VALUE"""),45814.66666666667)</f>
        <v>45814.66667</v>
      </c>
      <c r="AD380" s="175">
        <f>IFERROR(__xludf.DUMMYFUNCTION("""COMPUTED_VALUE"""),697.71)</f>
        <v>697.71</v>
      </c>
    </row>
    <row r="381" hidden="1">
      <c r="A381" s="1"/>
      <c r="B381" s="1"/>
      <c r="C381" s="1"/>
      <c r="D381" s="1"/>
      <c r="E381" s="1"/>
      <c r="F381" s="1"/>
      <c r="G381" s="1"/>
      <c r="H381" s="1"/>
      <c r="I381" s="1"/>
      <c r="J381" s="1"/>
      <c r="K381" s="1"/>
      <c r="L381" s="1"/>
      <c r="M381" s="1"/>
      <c r="N381" s="1"/>
      <c r="O381" s="1"/>
      <c r="P381" s="1"/>
      <c r="Q381" s="1"/>
      <c r="R381" s="1"/>
      <c r="S381" s="1"/>
      <c r="T381" s="1"/>
      <c r="U381" s="5"/>
      <c r="V381" s="6"/>
      <c r="W381" s="6"/>
      <c r="X381" s="6"/>
      <c r="Y381" s="6"/>
      <c r="Z381" s="6"/>
      <c r="AA381" s="6"/>
      <c r="AB381" s="5"/>
      <c r="AC381" s="174">
        <f>IFERROR(__xludf.DUMMYFUNCTION("""COMPUTED_VALUE"""),45821.66666666667)</f>
        <v>45821.66667</v>
      </c>
      <c r="AD381" s="175">
        <f>IFERROR(__xludf.DUMMYFUNCTION("""COMPUTED_VALUE"""),682.87)</f>
        <v>682.87</v>
      </c>
    </row>
    <row r="382" hidden="1">
      <c r="A382" s="1"/>
      <c r="B382" s="1"/>
      <c r="C382" s="1"/>
      <c r="D382" s="1"/>
      <c r="E382" s="1"/>
      <c r="F382" s="1"/>
      <c r="G382" s="1"/>
      <c r="H382" s="1"/>
      <c r="I382" s="1"/>
      <c r="J382" s="1"/>
      <c r="K382" s="1"/>
      <c r="L382" s="1"/>
      <c r="M382" s="1"/>
      <c r="N382" s="1"/>
      <c r="O382" s="1"/>
      <c r="P382" s="1"/>
      <c r="Q382" s="1"/>
      <c r="R382" s="1"/>
      <c r="S382" s="1"/>
      <c r="T382" s="1"/>
      <c r="U382" s="5"/>
      <c r="V382" s="6"/>
      <c r="W382" s="6"/>
      <c r="X382" s="6"/>
      <c r="Y382" s="6"/>
      <c r="Z382" s="6"/>
      <c r="AA382" s="6"/>
      <c r="AB382" s="5"/>
      <c r="AC382" s="174">
        <f>IFERROR(__xludf.DUMMYFUNCTION("""COMPUTED_VALUE"""),45828.66666666667)</f>
        <v>45828.66667</v>
      </c>
      <c r="AD382" s="175">
        <f>IFERROR(__xludf.DUMMYFUNCTION("""COMPUTED_VALUE"""),682.35)</f>
        <v>682.35</v>
      </c>
    </row>
    <row r="383" hidden="1">
      <c r="A383" s="1"/>
      <c r="B383" s="1"/>
      <c r="C383" s="1"/>
      <c r="D383" s="1"/>
      <c r="E383" s="1"/>
      <c r="F383" s="1"/>
      <c r="G383" s="1"/>
      <c r="H383" s="1"/>
      <c r="I383" s="1"/>
      <c r="J383" s="1"/>
      <c r="K383" s="1"/>
      <c r="L383" s="1"/>
      <c r="M383" s="1"/>
      <c r="N383" s="1"/>
      <c r="O383" s="1"/>
      <c r="P383" s="1"/>
      <c r="Q383" s="1"/>
      <c r="R383" s="1"/>
      <c r="S383" s="1"/>
      <c r="T383" s="1"/>
      <c r="U383" s="5"/>
      <c r="V383" s="6"/>
      <c r="W383" s="6"/>
      <c r="X383" s="6"/>
      <c r="Y383" s="6"/>
      <c r="Z383" s="6"/>
      <c r="AA383" s="6"/>
      <c r="AB383" s="5"/>
      <c r="AC383" s="174">
        <f>IFERROR(__xludf.DUMMYFUNCTION("""COMPUTED_VALUE"""),45835.66666666667)</f>
        <v>45835.66667</v>
      </c>
      <c r="AD383" s="175">
        <f>IFERROR(__xludf.DUMMYFUNCTION("""COMPUTED_VALUE"""),733.63)</f>
        <v>733.63</v>
      </c>
    </row>
    <row r="384" hidden="1">
      <c r="A384" s="1"/>
      <c r="B384" s="1"/>
      <c r="C384" s="1"/>
      <c r="D384" s="1"/>
      <c r="E384" s="1"/>
      <c r="F384" s="1"/>
      <c r="G384" s="1"/>
      <c r="H384" s="1"/>
      <c r="I384" s="1"/>
      <c r="J384" s="1"/>
      <c r="K384" s="1"/>
      <c r="L384" s="1"/>
      <c r="M384" s="1"/>
      <c r="N384" s="1"/>
      <c r="O384" s="1"/>
      <c r="P384" s="1"/>
      <c r="Q384" s="1"/>
      <c r="R384" s="1"/>
      <c r="S384" s="1"/>
      <c r="T384" s="1"/>
      <c r="U384" s="5"/>
      <c r="V384" s="6"/>
      <c r="W384" s="6"/>
      <c r="X384" s="6"/>
      <c r="Y384" s="6"/>
      <c r="Z384" s="6"/>
      <c r="AA384" s="6"/>
      <c r="AB384" s="5"/>
      <c r="AC384" s="174">
        <f>IFERROR(__xludf.DUMMYFUNCTION("""COMPUTED_VALUE"""),45841.54513888889)</f>
        <v>45841.54514</v>
      </c>
      <c r="AD384" s="175">
        <f>IFERROR(__xludf.DUMMYFUNCTION("""COMPUTED_VALUE"""),719.01)</f>
        <v>719.01</v>
      </c>
    </row>
    <row r="385" hidden="1">
      <c r="A385" s="1"/>
      <c r="B385" s="1"/>
      <c r="C385" s="1"/>
      <c r="D385" s="1"/>
      <c r="E385" s="1"/>
      <c r="F385" s="1"/>
      <c r="G385" s="1"/>
      <c r="H385" s="1"/>
      <c r="I385" s="1"/>
      <c r="J385" s="1"/>
      <c r="K385" s="1"/>
      <c r="L385" s="1"/>
      <c r="M385" s="1"/>
      <c r="N385" s="1"/>
      <c r="O385" s="1"/>
      <c r="P385" s="1"/>
      <c r="Q385" s="1"/>
      <c r="R385" s="1"/>
      <c r="S385" s="1"/>
      <c r="T385" s="1"/>
      <c r="U385" s="5"/>
      <c r="V385" s="6"/>
      <c r="W385" s="6"/>
      <c r="X385" s="6"/>
      <c r="Y385" s="6"/>
      <c r="Z385" s="6"/>
      <c r="AA385" s="6"/>
      <c r="AB385" s="5"/>
      <c r="AC385" s="174">
        <f>IFERROR(__xludf.DUMMYFUNCTION("""COMPUTED_VALUE"""),45849.66666666667)</f>
        <v>45849.66667</v>
      </c>
      <c r="AD385" s="175">
        <f>IFERROR(__xludf.DUMMYFUNCTION("""COMPUTED_VALUE"""),717.51)</f>
        <v>717.51</v>
      </c>
    </row>
    <row r="386" hidden="1">
      <c r="A386" s="1"/>
      <c r="B386" s="1"/>
      <c r="C386" s="1"/>
      <c r="D386" s="1"/>
      <c r="E386" s="1"/>
      <c r="F386" s="1"/>
      <c r="G386" s="1"/>
      <c r="H386" s="1"/>
      <c r="I386" s="1"/>
      <c r="J386" s="1"/>
      <c r="K386" s="1"/>
      <c r="L386" s="1"/>
      <c r="M386" s="1"/>
      <c r="N386" s="1"/>
      <c r="O386" s="1"/>
      <c r="P386" s="1"/>
      <c r="Q386" s="1"/>
      <c r="R386" s="1"/>
      <c r="S386" s="1"/>
      <c r="T386" s="1"/>
      <c r="U386" s="5"/>
      <c r="V386" s="6"/>
      <c r="W386" s="6"/>
      <c r="X386" s="6"/>
      <c r="Y386" s="6"/>
      <c r="Z386" s="6"/>
      <c r="AA386" s="6"/>
      <c r="AB386" s="5"/>
      <c r="AC386" s="174">
        <f>IFERROR(__xludf.DUMMYFUNCTION("""COMPUTED_VALUE"""),45856.66666666667)</f>
        <v>45856.66667</v>
      </c>
      <c r="AD386" s="175">
        <f>IFERROR(__xludf.DUMMYFUNCTION("""COMPUTED_VALUE"""),704.28)</f>
        <v>704.28</v>
      </c>
    </row>
    <row r="387" hidden="1">
      <c r="A387" s="1"/>
      <c r="B387" s="1"/>
      <c r="C387" s="1"/>
      <c r="D387" s="1"/>
      <c r="E387" s="1"/>
      <c r="F387" s="1"/>
      <c r="G387" s="1"/>
      <c r="H387" s="1"/>
      <c r="I387" s="1"/>
      <c r="J387" s="1"/>
      <c r="K387" s="1"/>
      <c r="L387" s="1"/>
      <c r="M387" s="1"/>
      <c r="N387" s="1"/>
      <c r="O387" s="1"/>
      <c r="P387" s="1"/>
      <c r="Q387" s="1"/>
      <c r="R387" s="1"/>
      <c r="S387" s="1"/>
      <c r="T387" s="1"/>
      <c r="U387" s="5"/>
      <c r="V387" s="6"/>
      <c r="W387" s="6"/>
      <c r="X387" s="6"/>
      <c r="Y387" s="6"/>
      <c r="Z387" s="6"/>
      <c r="AA387" s="6"/>
      <c r="AB387" s="5"/>
      <c r="AC387" s="174">
        <f>IFERROR(__xludf.DUMMYFUNCTION("""COMPUTED_VALUE"""),45863.66666666667)</f>
        <v>45863.66667</v>
      </c>
      <c r="AD387" s="175">
        <f>IFERROR(__xludf.DUMMYFUNCTION("""COMPUTED_VALUE"""),712.68)</f>
        <v>712.68</v>
      </c>
    </row>
    <row r="388" hidden="1">
      <c r="A388" s="1"/>
      <c r="B388" s="1"/>
      <c r="C388" s="1"/>
      <c r="D388" s="1"/>
      <c r="E388" s="1"/>
      <c r="F388" s="1"/>
      <c r="G388" s="1"/>
      <c r="H388" s="1"/>
      <c r="I388" s="1"/>
      <c r="J388" s="1"/>
      <c r="K388" s="1"/>
      <c r="L388" s="1"/>
      <c r="M388" s="1"/>
      <c r="N388" s="1"/>
      <c r="O388" s="1"/>
      <c r="P388" s="1"/>
      <c r="Q388" s="1"/>
      <c r="R388" s="1"/>
      <c r="S388" s="1"/>
      <c r="T388" s="1"/>
      <c r="U388" s="5"/>
      <c r="V388" s="6"/>
      <c r="W388" s="6"/>
      <c r="X388" s="6"/>
      <c r="Y388" s="6"/>
      <c r="Z388" s="6"/>
      <c r="AA388" s="6"/>
      <c r="AB388" s="5"/>
      <c r="AC388" s="174">
        <f>IFERROR(__xludf.DUMMYFUNCTION("""COMPUTED_VALUE"""),45870.66666666667)</f>
        <v>45870.66667</v>
      </c>
      <c r="AD388" s="175">
        <f>IFERROR(__xludf.DUMMYFUNCTION("""COMPUTED_VALUE"""),750.01)</f>
        <v>750.01</v>
      </c>
    </row>
    <row r="389" hidden="1">
      <c r="A389" s="1"/>
      <c r="B389" s="1"/>
      <c r="C389" s="1"/>
      <c r="D389" s="1"/>
      <c r="E389" s="1"/>
      <c r="F389" s="1"/>
      <c r="G389" s="1"/>
      <c r="H389" s="1"/>
      <c r="I389" s="1"/>
      <c r="J389" s="1"/>
      <c r="K389" s="1"/>
      <c r="L389" s="1"/>
      <c r="M389" s="1"/>
      <c r="N389" s="1"/>
      <c r="O389" s="1"/>
      <c r="P389" s="1"/>
      <c r="Q389" s="1"/>
      <c r="R389" s="1"/>
      <c r="S389" s="1"/>
      <c r="T389" s="1"/>
      <c r="U389" s="5"/>
      <c r="V389" s="6"/>
      <c r="W389" s="6"/>
      <c r="X389" s="6"/>
      <c r="Y389" s="6"/>
      <c r="Z389" s="6"/>
      <c r="AA389" s="6"/>
      <c r="AB389" s="5"/>
      <c r="AC389" s="174">
        <f>IFERROR(__xludf.DUMMYFUNCTION("""COMPUTED_VALUE"""),45877.66666666667)</f>
        <v>45877.66667</v>
      </c>
      <c r="AD389" s="175">
        <f>IFERROR(__xludf.DUMMYFUNCTION("""COMPUTED_VALUE"""),769.3)</f>
        <v>769.3</v>
      </c>
    </row>
    <row r="390" hidden="1">
      <c r="A390" s="1"/>
      <c r="B390" s="1"/>
      <c r="C390" s="1"/>
      <c r="D390" s="1"/>
      <c r="E390" s="1"/>
      <c r="F390" s="1"/>
      <c r="G390" s="1"/>
      <c r="H390" s="1"/>
      <c r="I390" s="1"/>
      <c r="J390" s="1"/>
      <c r="K390" s="1"/>
      <c r="L390" s="1"/>
      <c r="M390" s="1"/>
      <c r="N390" s="1"/>
      <c r="O390" s="1"/>
      <c r="P390" s="1"/>
      <c r="Q390" s="1"/>
      <c r="R390" s="1"/>
      <c r="S390" s="1"/>
      <c r="T390" s="1"/>
      <c r="U390" s="5"/>
      <c r="V390" s="6"/>
      <c r="W390" s="6"/>
      <c r="X390" s="6"/>
      <c r="Y390" s="6"/>
      <c r="Z390" s="6"/>
      <c r="AA390" s="6"/>
      <c r="AB390" s="5"/>
      <c r="AC390" s="174">
        <f>IFERROR(__xludf.DUMMYFUNCTION("""COMPUTED_VALUE"""),45884.66666666667)</f>
        <v>45884.66667</v>
      </c>
      <c r="AD390" s="175">
        <f>IFERROR(__xludf.DUMMYFUNCTION("""COMPUTED_VALUE"""),785.23)</f>
        <v>785.23</v>
      </c>
    </row>
    <row r="391" hidden="1">
      <c r="A391" s="1"/>
      <c r="B391" s="1"/>
      <c r="C391" s="1"/>
      <c r="D391" s="1"/>
      <c r="E391" s="1"/>
      <c r="F391" s="1"/>
      <c r="G391" s="1"/>
      <c r="H391" s="1"/>
      <c r="I391" s="1"/>
      <c r="J391" s="1"/>
      <c r="K391" s="1"/>
      <c r="L391" s="1"/>
      <c r="M391" s="1"/>
      <c r="N391" s="1"/>
      <c r="O391" s="1"/>
      <c r="P391" s="1"/>
      <c r="Q391" s="1"/>
      <c r="R391" s="1"/>
      <c r="S391" s="1"/>
      <c r="T391" s="1"/>
      <c r="U391" s="5"/>
      <c r="V391" s="6"/>
      <c r="W391" s="6"/>
      <c r="X391" s="6"/>
      <c r="Y391" s="6"/>
      <c r="Z391" s="6"/>
      <c r="AA391" s="6"/>
      <c r="AB391" s="5"/>
      <c r="AC391" s="174">
        <f>IFERROR(__xludf.DUMMYFUNCTION("""COMPUTED_VALUE"""),45891.66666666667)</f>
        <v>45891.66667</v>
      </c>
      <c r="AD391" s="175">
        <f>IFERROR(__xludf.DUMMYFUNCTION("""COMPUTED_VALUE"""),754.79)</f>
        <v>754.79</v>
      </c>
    </row>
    <row r="392" hidden="1">
      <c r="A392" s="1"/>
      <c r="B392" s="1"/>
      <c r="C392" s="1"/>
      <c r="D392" s="1"/>
      <c r="E392" s="1"/>
      <c r="F392" s="1"/>
      <c r="G392" s="1"/>
      <c r="H392" s="1"/>
      <c r="I392" s="1"/>
      <c r="J392" s="1"/>
      <c r="K392" s="1"/>
      <c r="L392" s="1"/>
      <c r="M392" s="1"/>
      <c r="N392" s="1"/>
      <c r="O392" s="1"/>
      <c r="P392" s="1"/>
      <c r="Q392" s="1"/>
      <c r="R392" s="1"/>
      <c r="S392" s="1"/>
      <c r="T392" s="1"/>
      <c r="U392" s="5"/>
      <c r="V392" s="6"/>
      <c r="W392" s="6"/>
      <c r="X392" s="6"/>
      <c r="Y392" s="6"/>
      <c r="Z392" s="6"/>
      <c r="AA392" s="6"/>
      <c r="AB392" s="5"/>
      <c r="AC392" s="174">
        <f>IFERROR(__xludf.DUMMYFUNCTION("""COMPUTED_VALUE"""),45898.66666666667)</f>
        <v>45898.66667</v>
      </c>
      <c r="AD392" s="175">
        <f>IFERROR(__xludf.DUMMYFUNCTION("""COMPUTED_VALUE"""),738.7)</f>
        <v>738.7</v>
      </c>
    </row>
    <row r="393" hidden="1">
      <c r="A393" s="1"/>
      <c r="B393" s="1"/>
      <c r="C393" s="1"/>
      <c r="D393" s="1"/>
      <c r="E393" s="1"/>
      <c r="F393" s="1"/>
      <c r="G393" s="1"/>
      <c r="H393" s="1"/>
      <c r="I393" s="1"/>
      <c r="J393" s="1"/>
      <c r="K393" s="1"/>
      <c r="L393" s="1"/>
      <c r="M393" s="1"/>
      <c r="N393" s="1"/>
      <c r="O393" s="1"/>
      <c r="P393" s="1"/>
      <c r="Q393" s="1"/>
      <c r="R393" s="1"/>
      <c r="S393" s="1"/>
      <c r="T393" s="1"/>
      <c r="U393" s="5"/>
      <c r="V393" s="6"/>
      <c r="W393" s="6"/>
      <c r="X393" s="6"/>
      <c r="Y393" s="6"/>
      <c r="Z393" s="6"/>
      <c r="AA393" s="6"/>
      <c r="AB393" s="5"/>
      <c r="AC393" s="174">
        <f>IFERROR(__xludf.DUMMYFUNCTION("""COMPUTED_VALUE"""),45905.66666666667)</f>
        <v>45905.66667</v>
      </c>
      <c r="AD393" s="175">
        <f>IFERROR(__xludf.DUMMYFUNCTION("""COMPUTED_VALUE"""),752.45)</f>
        <v>752.45</v>
      </c>
    </row>
    <row r="394" hidden="1">
      <c r="A394" s="1"/>
      <c r="B394" s="1"/>
      <c r="C394" s="1"/>
      <c r="D394" s="1"/>
      <c r="E394" s="1"/>
      <c r="F394" s="1"/>
      <c r="G394" s="1"/>
      <c r="H394" s="1"/>
      <c r="I394" s="1"/>
      <c r="J394" s="1"/>
      <c r="K394" s="1"/>
      <c r="L394" s="1"/>
      <c r="M394" s="1"/>
      <c r="N394" s="1"/>
      <c r="O394" s="1"/>
      <c r="P394" s="1"/>
      <c r="Q394" s="1"/>
      <c r="R394" s="1"/>
      <c r="S394" s="1"/>
      <c r="T394" s="1"/>
      <c r="U394" s="5"/>
      <c r="V394" s="6"/>
      <c r="W394" s="6"/>
      <c r="X394" s="6"/>
      <c r="Y394" s="6"/>
      <c r="Z394" s="6"/>
      <c r="AA394" s="6"/>
      <c r="AB394" s="5"/>
      <c r="AC394" s="174">
        <f>IFERROR(__xludf.DUMMYFUNCTION("""COMPUTED_VALUE"""),45912.66666666667)</f>
        <v>45912.66667</v>
      </c>
      <c r="AD394" s="175">
        <f>IFERROR(__xludf.DUMMYFUNCTION("""COMPUTED_VALUE"""),755.59)</f>
        <v>755.59</v>
      </c>
    </row>
    <row r="395" hidden="1">
      <c r="A395" s="1"/>
      <c r="B395" s="1"/>
      <c r="C395" s="1"/>
      <c r="D395" s="1"/>
      <c r="E395" s="1"/>
      <c r="F395" s="1"/>
      <c r="G395" s="1"/>
      <c r="H395" s="1"/>
      <c r="I395" s="1"/>
      <c r="J395" s="1"/>
      <c r="K395" s="1"/>
      <c r="L395" s="1"/>
      <c r="M395" s="1"/>
      <c r="N395" s="1"/>
      <c r="O395" s="1"/>
      <c r="P395" s="1"/>
      <c r="Q395" s="1"/>
      <c r="R395" s="1"/>
      <c r="S395" s="1"/>
      <c r="T395" s="1"/>
      <c r="U395" s="5"/>
      <c r="V395" s="6"/>
      <c r="W395" s="6"/>
      <c r="X395" s="6"/>
      <c r="Y395" s="6"/>
      <c r="Z395" s="6"/>
      <c r="AA395" s="6"/>
      <c r="AB395" s="5"/>
      <c r="AC395" s="174">
        <f>IFERROR(__xludf.DUMMYFUNCTION("""COMPUTED_VALUE"""),45919.66666666667)</f>
        <v>45919.66667</v>
      </c>
      <c r="AD395" s="175">
        <f>IFERROR(__xludf.DUMMYFUNCTION("""COMPUTED_VALUE"""),778.38)</f>
        <v>778.38</v>
      </c>
    </row>
    <row r="396" hidden="1">
      <c r="A396" s="1"/>
      <c r="B396" s="1"/>
      <c r="C396" s="1"/>
      <c r="D396" s="1"/>
      <c r="E396" s="1"/>
      <c r="F396" s="1"/>
      <c r="G396" s="1"/>
      <c r="H396" s="1"/>
      <c r="I396" s="1"/>
      <c r="J396" s="1"/>
      <c r="K396" s="1"/>
      <c r="L396" s="1"/>
      <c r="M396" s="1"/>
      <c r="N396" s="1"/>
      <c r="O396" s="1"/>
      <c r="P396" s="1"/>
      <c r="Q396" s="1"/>
      <c r="R396" s="1"/>
      <c r="S396" s="1"/>
      <c r="T396" s="1"/>
      <c r="U396" s="5"/>
      <c r="V396" s="6"/>
      <c r="W396" s="6"/>
      <c r="X396" s="6"/>
      <c r="Y396" s="6"/>
      <c r="Z396" s="6"/>
      <c r="AA396" s="6"/>
      <c r="AB396" s="5"/>
      <c r="AC396" s="174">
        <f>IFERROR(__xludf.DUMMYFUNCTION("""COMPUTED_VALUE"""),45926.66666666667)</f>
        <v>45926.66667</v>
      </c>
      <c r="AD396" s="175">
        <f>IFERROR(__xludf.DUMMYFUNCTION("""COMPUTED_VALUE"""),743.75)</f>
        <v>743.75</v>
      </c>
    </row>
    <row r="397" hidden="1">
      <c r="A397" s="1"/>
      <c r="B397" s="1"/>
      <c r="C397" s="1"/>
      <c r="D397" s="1"/>
      <c r="E397" s="1"/>
      <c r="F397" s="1"/>
      <c r="G397" s="1"/>
      <c r="H397" s="1"/>
      <c r="I397" s="1"/>
      <c r="J397" s="1"/>
      <c r="K397" s="1"/>
      <c r="L397" s="1"/>
      <c r="M397" s="1"/>
      <c r="N397" s="1"/>
      <c r="O397" s="1"/>
      <c r="P397" s="1"/>
      <c r="Q397" s="1"/>
      <c r="R397" s="1"/>
      <c r="S397" s="1"/>
      <c r="T397" s="1"/>
      <c r="U397" s="5"/>
      <c r="V397" s="6"/>
      <c r="W397" s="6"/>
      <c r="X397" s="6"/>
      <c r="Y397" s="6"/>
      <c r="Z397" s="6"/>
      <c r="AA397" s="6"/>
      <c r="AB397" s="5"/>
      <c r="AC397" s="174">
        <f>IFERROR(__xludf.DUMMYFUNCTION("""COMPUTED_VALUE"""),45933.66666666667)</f>
        <v>45933.66667</v>
      </c>
      <c r="AD397" s="175">
        <f>IFERROR(__xludf.DUMMYFUNCTION("""COMPUTED_VALUE"""),710.56)</f>
        <v>710.56</v>
      </c>
    </row>
    <row r="398" hidden="1">
      <c r="A398" s="1"/>
      <c r="B398" s="1"/>
      <c r="C398" s="1"/>
      <c r="D398" s="1"/>
      <c r="E398" s="1"/>
      <c r="F398" s="1"/>
      <c r="G398" s="1"/>
      <c r="H398" s="1"/>
      <c r="I398" s="1"/>
      <c r="J398" s="1"/>
      <c r="K398" s="1"/>
      <c r="L398" s="1"/>
      <c r="M398" s="1"/>
      <c r="N398" s="1"/>
      <c r="O398" s="1"/>
      <c r="P398" s="1"/>
      <c r="Q398" s="1"/>
      <c r="R398" s="1"/>
      <c r="S398" s="1"/>
      <c r="T398" s="1"/>
      <c r="U398" s="5"/>
      <c r="V398" s="6"/>
      <c r="W398" s="6"/>
      <c r="X398" s="6"/>
      <c r="Y398" s="6"/>
      <c r="Z398" s="6"/>
      <c r="AA398" s="6"/>
      <c r="AB398" s="5"/>
      <c r="AC398" s="174">
        <f>IFERROR(__xludf.DUMMYFUNCTION("""COMPUTED_VALUE"""),45940.66666666667)</f>
        <v>45940.66667</v>
      </c>
      <c r="AD398" s="175">
        <f>IFERROR(__xludf.DUMMYFUNCTION("""COMPUTED_VALUE"""),705.3)</f>
        <v>705.3</v>
      </c>
    </row>
    <row r="399" hidden="1">
      <c r="A399" s="1"/>
      <c r="B399" s="1"/>
      <c r="C399" s="1"/>
      <c r="D399" s="1"/>
      <c r="E399" s="1"/>
      <c r="F399" s="1"/>
      <c r="G399" s="1"/>
      <c r="H399" s="1"/>
      <c r="I399" s="1"/>
      <c r="J399" s="1"/>
      <c r="K399" s="1"/>
      <c r="L399" s="1"/>
      <c r="M399" s="1"/>
      <c r="N399" s="1"/>
      <c r="O399" s="1"/>
      <c r="P399" s="1"/>
      <c r="Q399" s="1"/>
      <c r="R399" s="1"/>
      <c r="S399" s="1"/>
      <c r="T399" s="1"/>
      <c r="U399" s="5"/>
      <c r="V399" s="6"/>
      <c r="W399" s="6"/>
      <c r="X399" s="6"/>
      <c r="Y399" s="6"/>
      <c r="Z399" s="6"/>
      <c r="AA399" s="6"/>
      <c r="AB399" s="5"/>
      <c r="AC399" s="174">
        <f>IFERROR(__xludf.DUMMYFUNCTION("""COMPUTED_VALUE"""),45947.66666666667)</f>
        <v>45947.66667</v>
      </c>
      <c r="AD399" s="175">
        <f>IFERROR(__xludf.DUMMYFUNCTION("""COMPUTED_VALUE"""),716.92)</f>
        <v>716.92</v>
      </c>
    </row>
    <row r="400" hidden="1">
      <c r="A400" s="1"/>
      <c r="B400" s="1"/>
      <c r="C400" s="1"/>
      <c r="D400" s="1"/>
      <c r="E400" s="1"/>
      <c r="F400" s="1"/>
      <c r="G400" s="1"/>
      <c r="H400" s="1"/>
      <c r="I400" s="1"/>
      <c r="J400" s="1"/>
      <c r="K400" s="1"/>
      <c r="L400" s="1"/>
      <c r="M400" s="1"/>
      <c r="N400" s="1"/>
      <c r="O400" s="1"/>
      <c r="P400" s="1"/>
      <c r="Q400" s="1"/>
      <c r="R400" s="1"/>
      <c r="S400" s="1"/>
      <c r="T400" s="1"/>
      <c r="U400" s="5"/>
      <c r="V400" s="6"/>
      <c r="W400" s="6"/>
      <c r="X400" s="6"/>
      <c r="Y400" s="6"/>
      <c r="Z400" s="6"/>
      <c r="AA400" s="6"/>
      <c r="AB400" s="5"/>
      <c r="AC400" s="174">
        <f>IFERROR(__xludf.DUMMYFUNCTION("""COMPUTED_VALUE"""),45954.66666666667)</f>
        <v>45954.66667</v>
      </c>
      <c r="AD400" s="175">
        <f>IFERROR(__xludf.DUMMYFUNCTION("""COMPUTED_VALUE"""),738.36)</f>
        <v>738.36</v>
      </c>
    </row>
    <row r="401" hidden="1">
      <c r="A401" s="1"/>
      <c r="B401" s="1"/>
      <c r="C401" s="1"/>
      <c r="D401" s="1"/>
      <c r="E401" s="1"/>
      <c r="F401" s="1"/>
      <c r="G401" s="1"/>
      <c r="H401" s="1"/>
      <c r="I401" s="1"/>
      <c r="J401" s="1"/>
      <c r="K401" s="1"/>
      <c r="L401" s="1"/>
      <c r="M401" s="1"/>
      <c r="N401" s="1"/>
      <c r="O401" s="1"/>
      <c r="P401" s="1"/>
      <c r="Q401" s="1"/>
      <c r="R401" s="1"/>
      <c r="S401" s="1"/>
      <c r="T401" s="1"/>
      <c r="U401" s="5"/>
      <c r="V401" s="6"/>
      <c r="W401" s="6"/>
      <c r="X401" s="6"/>
      <c r="Y401" s="6"/>
      <c r="Z401" s="6"/>
      <c r="AA401" s="6"/>
      <c r="AB401" s="5"/>
      <c r="AC401" s="174">
        <f>IFERROR(__xludf.DUMMYFUNCTION("""COMPUTED_VALUE"""),45961.66666666667)</f>
        <v>45961.66667</v>
      </c>
      <c r="AD401" s="175">
        <f>IFERROR(__xludf.DUMMYFUNCTION("""COMPUTED_VALUE"""),648.35)</f>
        <v>648.35</v>
      </c>
    </row>
    <row r="402" hidden="1">
      <c r="A402" s="1"/>
      <c r="B402" s="1"/>
      <c r="C402" s="1"/>
      <c r="D402" s="1"/>
      <c r="E402" s="1"/>
      <c r="F402" s="1"/>
      <c r="G402" s="1"/>
      <c r="H402" s="1"/>
      <c r="I402" s="1"/>
      <c r="J402" s="1"/>
      <c r="K402" s="1"/>
      <c r="L402" s="1"/>
      <c r="M402" s="1"/>
      <c r="N402" s="1"/>
      <c r="O402" s="1"/>
      <c r="P402" s="1"/>
      <c r="Q402" s="1"/>
      <c r="R402" s="1"/>
      <c r="S402" s="1"/>
      <c r="T402" s="1"/>
      <c r="U402" s="5"/>
      <c r="V402" s="6"/>
      <c r="W402" s="6"/>
      <c r="X402" s="6"/>
      <c r="Y402" s="6"/>
      <c r="Z402" s="6"/>
      <c r="AA402" s="6"/>
      <c r="AB402" s="5"/>
      <c r="AC402" s="174">
        <f>IFERROR(__xludf.DUMMYFUNCTION("""COMPUTED_VALUE"""),45968.66666666667)</f>
        <v>45968.66667</v>
      </c>
      <c r="AD402" s="175">
        <f>IFERROR(__xludf.DUMMYFUNCTION("""COMPUTED_VALUE"""),621.71)</f>
        <v>621.71</v>
      </c>
    </row>
    <row r="403" hidden="1">
      <c r="A403" s="1"/>
      <c r="B403" s="1"/>
      <c r="C403" s="1"/>
      <c r="D403" s="1"/>
      <c r="E403" s="1"/>
      <c r="F403" s="1"/>
      <c r="G403" s="1"/>
      <c r="H403" s="1"/>
      <c r="I403" s="1"/>
      <c r="J403" s="1"/>
      <c r="K403" s="1"/>
      <c r="L403" s="1"/>
      <c r="M403" s="1"/>
      <c r="N403" s="1"/>
      <c r="O403" s="1"/>
      <c r="P403" s="1"/>
      <c r="Q403" s="1"/>
      <c r="R403" s="1"/>
      <c r="S403" s="1"/>
      <c r="T403" s="1"/>
      <c r="U403" s="5"/>
      <c r="V403" s="6"/>
      <c r="W403" s="6"/>
      <c r="X403" s="6"/>
      <c r="Y403" s="6"/>
      <c r="Z403" s="6"/>
      <c r="AA403" s="6"/>
      <c r="AB403" s="5"/>
      <c r="AC403" s="174">
        <f>IFERROR(__xludf.DUMMYFUNCTION("""COMPUTED_VALUE"""),45975.66666666667)</f>
        <v>45975.66667</v>
      </c>
      <c r="AD403" s="175">
        <f>IFERROR(__xludf.DUMMYFUNCTION("""COMPUTED_VALUE"""),609.46)</f>
        <v>609.46</v>
      </c>
    </row>
    <row r="404" hidden="1">
      <c r="A404" s="1"/>
      <c r="B404" s="1"/>
      <c r="C404" s="1"/>
      <c r="D404" s="1"/>
      <c r="E404" s="1"/>
      <c r="F404" s="1"/>
      <c r="G404" s="1"/>
      <c r="H404" s="1"/>
      <c r="I404" s="1"/>
      <c r="J404" s="1"/>
      <c r="K404" s="1"/>
      <c r="L404" s="1"/>
      <c r="M404" s="1"/>
      <c r="N404" s="1"/>
      <c r="O404" s="1"/>
      <c r="P404" s="1"/>
      <c r="Q404" s="1"/>
      <c r="R404" s="1"/>
      <c r="S404" s="1"/>
      <c r="T404" s="1"/>
      <c r="U404" s="5"/>
      <c r="V404" s="6"/>
      <c r="W404" s="6"/>
      <c r="X404" s="6"/>
      <c r="Y404" s="6"/>
      <c r="Z404" s="6"/>
      <c r="AA404" s="6"/>
      <c r="AB404" s="5"/>
      <c r="AC404" s="174">
        <f>IFERROR(__xludf.DUMMYFUNCTION("""COMPUTED_VALUE"""),45982.66666666667)</f>
        <v>45982.66667</v>
      </c>
      <c r="AD404" s="175">
        <f>IFERROR(__xludf.DUMMYFUNCTION("""COMPUTED_VALUE"""),594.25)</f>
        <v>594.25</v>
      </c>
    </row>
    <row r="405" hidden="1">
      <c r="A405" s="1"/>
      <c r="B405" s="1"/>
      <c r="C405" s="1"/>
      <c r="D405" s="1"/>
      <c r="E405" s="1"/>
      <c r="F405" s="1"/>
      <c r="G405" s="1"/>
      <c r="H405" s="1"/>
      <c r="I405" s="1"/>
      <c r="J405" s="1"/>
      <c r="K405" s="1"/>
      <c r="L405" s="1"/>
      <c r="M405" s="1"/>
      <c r="N405" s="1"/>
      <c r="O405" s="1"/>
      <c r="P405" s="1"/>
      <c r="Q405" s="1"/>
      <c r="R405" s="1"/>
      <c r="S405" s="1"/>
      <c r="T405" s="1"/>
      <c r="U405" s="5"/>
      <c r="V405" s="6"/>
      <c r="W405" s="6"/>
      <c r="X405" s="6"/>
      <c r="Y405" s="6"/>
      <c r="Z405" s="6"/>
      <c r="AA405" s="6"/>
      <c r="AB405" s="5"/>
      <c r="AC405" s="174">
        <f>IFERROR(__xludf.DUMMYFUNCTION("""COMPUTED_VALUE"""),45989.54513888889)</f>
        <v>45989.54514</v>
      </c>
      <c r="AD405" s="175">
        <f>IFERROR(__xludf.DUMMYFUNCTION("""COMPUTED_VALUE"""),647.95)</f>
        <v>647.95</v>
      </c>
    </row>
    <row r="406" hidden="1">
      <c r="A406" s="1"/>
      <c r="B406" s="1"/>
      <c r="C406" s="1"/>
      <c r="D406" s="1"/>
      <c r="E406" s="1"/>
      <c r="F406" s="1"/>
      <c r="G406" s="1"/>
      <c r="H406" s="1"/>
      <c r="I406" s="1"/>
      <c r="J406" s="1"/>
      <c r="K406" s="1"/>
      <c r="L406" s="1"/>
      <c r="M406" s="1"/>
      <c r="N406" s="1"/>
      <c r="O406" s="1"/>
      <c r="P406" s="1"/>
      <c r="Q406" s="1"/>
      <c r="R406" s="1"/>
      <c r="S406" s="1"/>
      <c r="T406" s="1"/>
      <c r="U406" s="5"/>
      <c r="V406" s="6"/>
      <c r="W406" s="6"/>
      <c r="X406" s="6"/>
      <c r="Y406" s="6"/>
      <c r="Z406" s="6"/>
      <c r="AA406" s="6"/>
      <c r="AB406" s="5"/>
      <c r="AC406" s="174">
        <f>IFERROR(__xludf.DUMMYFUNCTION("""COMPUTED_VALUE"""),45996.66666666667)</f>
        <v>45996.66667</v>
      </c>
      <c r="AD406" s="175">
        <f>IFERROR(__xludf.DUMMYFUNCTION("""COMPUTED_VALUE"""),673.42)</f>
        <v>673.42</v>
      </c>
    </row>
    <row r="407" hidden="1">
      <c r="A407" s="1"/>
      <c r="B407" s="1"/>
      <c r="C407" s="1"/>
      <c r="D407" s="1"/>
      <c r="E407" s="1"/>
      <c r="F407" s="1"/>
      <c r="G407" s="1"/>
      <c r="H407" s="1"/>
      <c r="I407" s="1"/>
      <c r="J407" s="1"/>
      <c r="K407" s="1"/>
      <c r="L407" s="1"/>
      <c r="M407" s="1"/>
      <c r="N407" s="1"/>
      <c r="O407" s="1"/>
      <c r="P407" s="1"/>
      <c r="Q407" s="1"/>
      <c r="R407" s="1"/>
      <c r="S407" s="1"/>
      <c r="T407" s="1"/>
      <c r="U407" s="5"/>
      <c r="V407" s="6"/>
      <c r="W407" s="6"/>
      <c r="X407" s="6"/>
      <c r="Y407" s="6"/>
      <c r="Z407" s="6"/>
      <c r="AA407" s="6"/>
      <c r="AB407" s="5"/>
      <c r="AC407" s="174">
        <f>IFERROR(__xludf.DUMMYFUNCTION("""COMPUTED_VALUE"""),46003.66666666667)</f>
        <v>46003.66667</v>
      </c>
      <c r="AD407" s="175">
        <f>IFERROR(__xludf.DUMMYFUNCTION("""COMPUTED_VALUE"""),644.23)</f>
        <v>644.23</v>
      </c>
    </row>
    <row r="408" hidden="1">
      <c r="A408" s="1"/>
      <c r="B408" s="1"/>
      <c r="C408" s="1"/>
      <c r="D408" s="1"/>
      <c r="E408" s="1"/>
      <c r="F408" s="1"/>
      <c r="G408" s="1"/>
      <c r="H408" s="1"/>
      <c r="I408" s="1"/>
      <c r="J408" s="1"/>
      <c r="K408" s="1"/>
      <c r="L408" s="1"/>
      <c r="M408" s="1"/>
      <c r="N408" s="1"/>
      <c r="O408" s="1"/>
      <c r="P408" s="1"/>
      <c r="Q408" s="1"/>
      <c r="R408" s="1"/>
      <c r="S408" s="1"/>
      <c r="T408" s="1"/>
      <c r="U408" s="5"/>
      <c r="V408" s="6"/>
      <c r="W408" s="6"/>
      <c r="X408" s="6"/>
      <c r="Y408" s="6"/>
      <c r="Z408" s="6"/>
      <c r="AA408" s="6"/>
      <c r="AB408" s="5"/>
      <c r="AC408" s="174">
        <f>IFERROR(__xludf.DUMMYFUNCTION("""COMPUTED_VALUE"""),46010.66666666667)</f>
        <v>46010.66667</v>
      </c>
      <c r="AD408" s="175">
        <f>IFERROR(__xludf.DUMMYFUNCTION("""COMPUTED_VALUE"""),658.77)</f>
        <v>658.77</v>
      </c>
    </row>
    <row r="409" hidden="1">
      <c r="A409" s="1"/>
      <c r="B409" s="1"/>
      <c r="C409" s="1"/>
      <c r="D409" s="1"/>
      <c r="E409" s="1"/>
      <c r="F409" s="1"/>
      <c r="G409" s="1"/>
      <c r="H409" s="1"/>
      <c r="I409" s="1"/>
      <c r="J409" s="1"/>
      <c r="K409" s="1"/>
      <c r="L409" s="1"/>
      <c r="M409" s="1"/>
      <c r="N409" s="1"/>
      <c r="O409" s="1"/>
      <c r="P409" s="1"/>
      <c r="Q409" s="1"/>
      <c r="R409" s="1"/>
      <c r="S409" s="1"/>
      <c r="T409" s="1"/>
      <c r="U409" s="5"/>
      <c r="V409" s="6"/>
      <c r="W409" s="6"/>
      <c r="X409" s="6"/>
      <c r="Y409" s="6"/>
      <c r="Z409" s="6"/>
      <c r="AA409" s="6"/>
      <c r="AB409" s="5"/>
      <c r="AC409" s="174">
        <f>IFERROR(__xludf.DUMMYFUNCTION("""COMPUTED_VALUE"""),46017.66666666667)</f>
        <v>46017.66667</v>
      </c>
      <c r="AD409" s="175">
        <f>IFERROR(__xludf.DUMMYFUNCTION("""COMPUTED_VALUE"""),663.29)</f>
        <v>663.29</v>
      </c>
    </row>
    <row r="410" hidden="1">
      <c r="A410" s="1"/>
      <c r="B410" s="1"/>
      <c r="C410" s="1"/>
      <c r="D410" s="1"/>
      <c r="E410" s="1"/>
      <c r="F410" s="1"/>
      <c r="G410" s="1"/>
      <c r="H410" s="1"/>
      <c r="I410" s="1"/>
      <c r="J410" s="1"/>
      <c r="K410" s="1"/>
      <c r="L410" s="1"/>
      <c r="M410" s="1"/>
      <c r="N410" s="1"/>
      <c r="O410" s="1"/>
      <c r="P410" s="1"/>
      <c r="Q410" s="1"/>
      <c r="R410" s="1"/>
      <c r="S410" s="1"/>
      <c r="T410" s="1"/>
      <c r="U410" s="5"/>
      <c r="V410" s="6"/>
      <c r="W410" s="6"/>
      <c r="X410" s="6"/>
      <c r="Y410" s="6"/>
      <c r="Z410" s="6"/>
      <c r="AA410" s="6"/>
      <c r="AB410" s="5"/>
      <c r="AC410" s="174">
        <f>IFERROR(__xludf.DUMMYFUNCTION("""COMPUTED_VALUE"""),46024.66666666667)</f>
        <v>46024.66667</v>
      </c>
      <c r="AD410" s="175">
        <f>IFERROR(__xludf.DUMMYFUNCTION("""COMPUTED_VALUE"""),650.41)</f>
        <v>650.41</v>
      </c>
    </row>
    <row r="411" hidden="1">
      <c r="A411" s="1"/>
      <c r="B411" s="1"/>
      <c r="C411" s="1"/>
      <c r="D411" s="1"/>
      <c r="E411" s="1"/>
      <c r="F411" s="1"/>
      <c r="G411" s="1"/>
      <c r="H411" s="1"/>
      <c r="I411" s="1"/>
      <c r="J411" s="1"/>
      <c r="K411" s="1"/>
      <c r="L411" s="1"/>
      <c r="M411" s="1"/>
      <c r="N411" s="1"/>
      <c r="O411" s="1"/>
      <c r="P411" s="1"/>
      <c r="Q411" s="1"/>
      <c r="R411" s="1"/>
      <c r="S411" s="1"/>
      <c r="T411" s="1"/>
      <c r="U411" s="5"/>
      <c r="V411" s="6"/>
      <c r="W411" s="6"/>
      <c r="X411" s="6"/>
      <c r="Y411" s="6"/>
      <c r="Z411" s="6"/>
      <c r="AA411" s="6"/>
      <c r="AB411" s="5"/>
      <c r="AC411" s="174">
        <f>IFERROR(__xludf.DUMMYFUNCTION("""COMPUTED_VALUE"""),46031.66666666667)</f>
        <v>46031.66667</v>
      </c>
      <c r="AD411" s="175">
        <f>IFERROR(__xludf.DUMMYFUNCTION("""COMPUTED_VALUE"""),653.06)</f>
        <v>653.06</v>
      </c>
    </row>
    <row r="412" hidden="1">
      <c r="A412" s="1"/>
      <c r="B412" s="1"/>
      <c r="C412" s="1"/>
      <c r="D412" s="1"/>
      <c r="E412" s="1"/>
      <c r="F412" s="1"/>
      <c r="G412" s="1"/>
      <c r="H412" s="1"/>
      <c r="I412" s="1"/>
      <c r="J412" s="1"/>
      <c r="K412" s="1"/>
      <c r="L412" s="1"/>
      <c r="M412" s="1"/>
      <c r="N412" s="1"/>
      <c r="O412" s="1"/>
      <c r="P412" s="1"/>
      <c r="Q412" s="1"/>
      <c r="R412" s="1"/>
      <c r="S412" s="1"/>
      <c r="T412" s="1"/>
      <c r="U412" s="5"/>
      <c r="V412" s="6"/>
      <c r="W412" s="6"/>
      <c r="X412" s="6"/>
      <c r="Y412" s="6"/>
      <c r="Z412" s="6"/>
      <c r="AA412" s="6"/>
      <c r="AB412" s="5"/>
      <c r="AC412" s="174">
        <f>IFERROR(__xludf.DUMMYFUNCTION("""COMPUTED_VALUE"""),46038.66666666667)</f>
        <v>46038.66667</v>
      </c>
      <c r="AD412" s="175">
        <f>IFERROR(__xludf.DUMMYFUNCTION("""COMPUTED_VALUE"""),620.25)</f>
        <v>620.25</v>
      </c>
    </row>
    <row r="413" hidden="1">
      <c r="A413" s="1"/>
      <c r="B413" s="1"/>
      <c r="C413" s="1"/>
      <c r="D413" s="1"/>
      <c r="E413" s="1"/>
      <c r="F413" s="1"/>
      <c r="G413" s="1"/>
      <c r="H413" s="1"/>
      <c r="I413" s="1"/>
      <c r="J413" s="1"/>
      <c r="K413" s="1"/>
      <c r="L413" s="1"/>
      <c r="M413" s="1"/>
      <c r="N413" s="1"/>
      <c r="O413" s="1"/>
      <c r="P413" s="1"/>
      <c r="Q413" s="1"/>
      <c r="R413" s="1"/>
      <c r="S413" s="1"/>
      <c r="T413" s="1"/>
      <c r="U413" s="5"/>
      <c r="V413" s="6"/>
      <c r="W413" s="6"/>
      <c r="X413" s="6"/>
      <c r="Y413" s="6"/>
      <c r="Z413" s="6"/>
      <c r="AA413" s="6"/>
      <c r="AB413" s="5"/>
      <c r="AC413" s="174">
        <f>IFERROR(__xludf.DUMMYFUNCTION("""COMPUTED_VALUE"""),46045.66666666667)</f>
        <v>46045.66667</v>
      </c>
      <c r="AD413" s="175">
        <f>IFERROR(__xludf.DUMMYFUNCTION("""COMPUTED_VALUE"""),658.76)</f>
        <v>658.76</v>
      </c>
    </row>
    <row r="414" hidden="1">
      <c r="A414" s="1"/>
      <c r="B414" s="1"/>
      <c r="C414" s="1"/>
      <c r="D414" s="1"/>
      <c r="E414" s="1"/>
      <c r="F414" s="1"/>
      <c r="G414" s="1"/>
      <c r="H414" s="1"/>
      <c r="I414" s="1"/>
      <c r="J414" s="1"/>
      <c r="K414" s="1"/>
      <c r="L414" s="1"/>
      <c r="M414" s="1"/>
      <c r="N414" s="1"/>
      <c r="O414" s="1"/>
      <c r="P414" s="1"/>
      <c r="Q414" s="1"/>
      <c r="R414" s="1"/>
      <c r="S414" s="1"/>
      <c r="T414" s="1"/>
      <c r="U414" s="5"/>
      <c r="V414" s="6"/>
      <c r="W414" s="6"/>
      <c r="X414" s="6"/>
      <c r="Y414" s="6"/>
      <c r="Z414" s="6"/>
      <c r="AA414" s="6"/>
      <c r="AB414" s="5"/>
      <c r="AC414" s="174">
        <f>IFERROR(__xludf.DUMMYFUNCTION("""COMPUTED_VALUE"""),46052.66666666667)</f>
        <v>46052.66667</v>
      </c>
      <c r="AD414" s="175">
        <f>IFERROR(__xludf.DUMMYFUNCTION("""COMPUTED_VALUE"""),716.5)</f>
        <v>716.5</v>
      </c>
    </row>
    <row r="415" hidden="1">
      <c r="A415" s="1"/>
      <c r="B415" s="1"/>
      <c r="C415" s="1"/>
      <c r="D415" s="1"/>
      <c r="E415" s="1"/>
      <c r="F415" s="1"/>
      <c r="G415" s="1"/>
      <c r="H415" s="1"/>
      <c r="I415" s="1"/>
      <c r="J415" s="1"/>
      <c r="K415" s="1"/>
      <c r="L415" s="1"/>
      <c r="M415" s="1"/>
      <c r="N415" s="1"/>
      <c r="O415" s="1"/>
      <c r="P415" s="1"/>
      <c r="Q415" s="1"/>
      <c r="R415" s="1"/>
      <c r="S415" s="1"/>
      <c r="T415" s="1"/>
      <c r="U415" s="5"/>
      <c r="V415" s="6"/>
      <c r="W415" s="6"/>
      <c r="X415" s="6"/>
      <c r="Y415" s="6"/>
      <c r="Z415" s="6"/>
      <c r="AA415" s="6"/>
      <c r="AB415" s="5"/>
      <c r="AC415" s="174">
        <f>IFERROR(__xludf.DUMMYFUNCTION("""COMPUTED_VALUE"""),46059.66666666667)</f>
        <v>46059.66667</v>
      </c>
      <c r="AD415" s="175">
        <f>IFERROR(__xludf.DUMMYFUNCTION("""COMPUTED_VALUE"""),661.46)</f>
        <v>661.46</v>
      </c>
    </row>
    <row r="416" hidden="1">
      <c r="A416" s="1"/>
      <c r="B416" s="1"/>
      <c r="C416" s="1"/>
      <c r="D416" s="1"/>
      <c r="E416" s="1"/>
      <c r="F416" s="1"/>
      <c r="G416" s="1"/>
      <c r="H416" s="1"/>
      <c r="I416" s="1"/>
      <c r="J416" s="1"/>
      <c r="K416" s="1"/>
      <c r="L416" s="1"/>
      <c r="M416" s="1"/>
      <c r="N416" s="1"/>
      <c r="O416" s="1"/>
      <c r="P416" s="1"/>
      <c r="Q416" s="1"/>
      <c r="R416" s="1"/>
      <c r="S416" s="1"/>
      <c r="T416" s="1"/>
      <c r="U416" s="5"/>
      <c r="V416" s="6"/>
      <c r="W416" s="6"/>
      <c r="X416" s="6"/>
      <c r="Y416" s="6"/>
      <c r="Z416" s="6"/>
      <c r="AA416" s="6"/>
      <c r="AB416" s="5"/>
      <c r="AC416" s="174">
        <f>IFERROR(__xludf.DUMMYFUNCTION("""COMPUTED_VALUE"""),46066.66666666667)</f>
        <v>46066.66667</v>
      </c>
      <c r="AD416" s="175">
        <f>IFERROR(__xludf.DUMMYFUNCTION("""COMPUTED_VALUE"""),639.77)</f>
        <v>639.77</v>
      </c>
    </row>
    <row r="417" hidden="1">
      <c r="A417" s="1"/>
      <c r="B417" s="1"/>
      <c r="C417" s="1"/>
      <c r="D417" s="1"/>
      <c r="E417" s="1"/>
      <c r="F417" s="1"/>
      <c r="G417" s="1"/>
      <c r="H417" s="1"/>
      <c r="I417" s="1"/>
      <c r="J417" s="1"/>
      <c r="K417" s="1"/>
      <c r="L417" s="1"/>
      <c r="M417" s="1"/>
      <c r="N417" s="1"/>
      <c r="O417" s="1"/>
      <c r="P417" s="1"/>
      <c r="Q417" s="1"/>
      <c r="R417" s="1"/>
      <c r="S417" s="1"/>
      <c r="T417" s="1"/>
      <c r="U417" s="5"/>
      <c r="V417" s="6"/>
      <c r="W417" s="6"/>
      <c r="X417" s="6"/>
      <c r="Y417" s="6"/>
      <c r="Z417" s="6"/>
      <c r="AA417" s="6"/>
      <c r="AB417" s="5"/>
      <c r="AC417" s="174">
        <f>IFERROR(__xludf.DUMMYFUNCTION("""COMPUTED_VALUE"""),46073.66666666667)</f>
        <v>46073.66667</v>
      </c>
      <c r="AD417" s="175">
        <f>IFERROR(__xludf.DUMMYFUNCTION("""COMPUTED_VALUE"""),655.66)</f>
        <v>655.66</v>
      </c>
    </row>
    <row r="418" hidden="1">
      <c r="A418" s="1"/>
      <c r="B418" s="1"/>
      <c r="C418" s="1"/>
      <c r="D418" s="1"/>
      <c r="E418" s="1"/>
      <c r="F418" s="1"/>
      <c r="G418" s="1"/>
      <c r="H418" s="1"/>
      <c r="I418" s="1"/>
      <c r="J418" s="1"/>
      <c r="K418" s="1"/>
      <c r="L418" s="1"/>
      <c r="M418" s="1"/>
      <c r="N418" s="1"/>
      <c r="O418" s="1"/>
      <c r="P418" s="1"/>
      <c r="Q418" s="1"/>
      <c r="R418" s="1"/>
      <c r="S418" s="1"/>
      <c r="T418" s="1"/>
      <c r="U418" s="5"/>
      <c r="V418" s="6"/>
      <c r="W418" s="6"/>
      <c r="X418" s="6"/>
      <c r="Y418" s="6"/>
      <c r="Z418" s="6"/>
      <c r="AA418" s="6"/>
      <c r="AB418" s="5"/>
      <c r="AC418" s="174">
        <f>IFERROR(__xludf.DUMMYFUNCTION("""COMPUTED_VALUE"""),46080.66666666667)</f>
        <v>46080.66667</v>
      </c>
      <c r="AD418" s="175">
        <f>IFERROR(__xludf.DUMMYFUNCTION("""COMPUTED_VALUE"""),648.18)</f>
        <v>648.18</v>
      </c>
    </row>
    <row r="419" hidden="1">
      <c r="A419" s="1"/>
      <c r="B419" s="1"/>
      <c r="C419" s="1"/>
      <c r="D419" s="1"/>
      <c r="E419" s="1"/>
      <c r="F419" s="1"/>
      <c r="G419" s="1"/>
      <c r="H419" s="1"/>
      <c r="I419" s="1"/>
      <c r="J419" s="1"/>
      <c r="K419" s="1"/>
      <c r="L419" s="1"/>
      <c r="M419" s="1"/>
      <c r="N419" s="1"/>
      <c r="O419" s="1"/>
      <c r="P419" s="1"/>
      <c r="Q419" s="1"/>
      <c r="R419" s="1"/>
      <c r="S419" s="1"/>
      <c r="T419" s="1"/>
      <c r="U419" s="5"/>
      <c r="V419" s="6"/>
      <c r="W419" s="6"/>
      <c r="X419" s="6"/>
      <c r="Y419" s="6"/>
      <c r="Z419" s="6"/>
      <c r="AA419" s="6"/>
      <c r="AB419" s="5"/>
      <c r="AC419" s="174"/>
      <c r="AD419" s="175"/>
    </row>
    <row r="420" hidden="1">
      <c r="A420" s="1"/>
      <c r="B420" s="1"/>
      <c r="C420" s="1"/>
      <c r="D420" s="1"/>
      <c r="E420" s="1"/>
      <c r="F420" s="1"/>
      <c r="G420" s="1"/>
      <c r="H420" s="1"/>
      <c r="I420" s="1"/>
      <c r="J420" s="1"/>
      <c r="K420" s="1"/>
      <c r="L420" s="1"/>
      <c r="M420" s="1"/>
      <c r="N420" s="1"/>
      <c r="O420" s="1"/>
      <c r="P420" s="1"/>
      <c r="Q420" s="1"/>
      <c r="R420" s="1"/>
      <c r="S420" s="1"/>
      <c r="T420" s="1"/>
      <c r="U420" s="5"/>
      <c r="V420" s="6"/>
      <c r="W420" s="6"/>
      <c r="X420" s="6"/>
      <c r="Y420" s="6"/>
      <c r="Z420" s="6"/>
      <c r="AA420" s="6"/>
      <c r="AB420" s="5"/>
      <c r="AC420" s="174"/>
      <c r="AD420" s="175"/>
    </row>
    <row r="421" hidden="1">
      <c r="A421" s="1"/>
      <c r="B421" s="1"/>
      <c r="C421" s="1"/>
      <c r="D421" s="1"/>
      <c r="E421" s="1"/>
      <c r="F421" s="1"/>
      <c r="G421" s="1"/>
      <c r="H421" s="1"/>
      <c r="I421" s="1"/>
      <c r="J421" s="1"/>
      <c r="K421" s="1"/>
      <c r="L421" s="1"/>
      <c r="M421" s="1"/>
      <c r="N421" s="1"/>
      <c r="O421" s="1"/>
      <c r="P421" s="1"/>
      <c r="Q421" s="1"/>
      <c r="R421" s="1"/>
      <c r="S421" s="1"/>
      <c r="T421" s="1"/>
      <c r="U421" s="5"/>
      <c r="V421" s="6"/>
      <c r="W421" s="6"/>
      <c r="X421" s="6"/>
      <c r="Y421" s="6"/>
      <c r="Z421" s="6"/>
      <c r="AA421" s="6"/>
      <c r="AB421" s="5"/>
      <c r="AC421" s="174"/>
      <c r="AD421" s="175"/>
    </row>
    <row r="422" hidden="1">
      <c r="A422" s="1"/>
      <c r="B422" s="1"/>
      <c r="C422" s="1"/>
      <c r="D422" s="1"/>
      <c r="E422" s="1"/>
      <c r="F422" s="1"/>
      <c r="G422" s="1"/>
      <c r="H422" s="1"/>
      <c r="I422" s="1"/>
      <c r="J422" s="1"/>
      <c r="K422" s="1"/>
      <c r="L422" s="1"/>
      <c r="M422" s="1"/>
      <c r="N422" s="1"/>
      <c r="O422" s="1"/>
      <c r="P422" s="1"/>
      <c r="Q422" s="1"/>
      <c r="R422" s="1"/>
      <c r="S422" s="1"/>
      <c r="T422" s="1"/>
      <c r="U422" s="5"/>
      <c r="V422" s="6"/>
      <c r="W422" s="6"/>
      <c r="X422" s="6"/>
      <c r="Y422" s="6"/>
      <c r="Z422" s="6"/>
      <c r="AA422" s="6"/>
      <c r="AB422" s="5"/>
      <c r="AC422" s="174"/>
      <c r="AD422" s="175"/>
    </row>
    <row r="423" hidden="1">
      <c r="A423" s="1"/>
      <c r="B423" s="1"/>
      <c r="C423" s="1"/>
      <c r="D423" s="1"/>
      <c r="E423" s="1"/>
      <c r="F423" s="1"/>
      <c r="G423" s="1"/>
      <c r="H423" s="1"/>
      <c r="I423" s="1"/>
      <c r="J423" s="1"/>
      <c r="K423" s="1"/>
      <c r="L423" s="1"/>
      <c r="M423" s="1"/>
      <c r="N423" s="1"/>
      <c r="O423" s="1"/>
      <c r="P423" s="1"/>
      <c r="Q423" s="1"/>
      <c r="R423" s="1"/>
      <c r="S423" s="1"/>
      <c r="T423" s="1"/>
      <c r="U423" s="5"/>
      <c r="V423" s="6"/>
      <c r="W423" s="6"/>
      <c r="X423" s="6"/>
      <c r="Y423" s="6"/>
      <c r="Z423" s="6"/>
      <c r="AA423" s="6"/>
      <c r="AB423" s="5"/>
      <c r="AC423" s="174"/>
      <c r="AD423" s="175"/>
    </row>
    <row r="424" hidden="1">
      <c r="A424" s="1"/>
      <c r="B424" s="1"/>
      <c r="C424" s="1"/>
      <c r="D424" s="1"/>
      <c r="E424" s="1"/>
      <c r="F424" s="1"/>
      <c r="G424" s="1"/>
      <c r="H424" s="1"/>
      <c r="I424" s="1"/>
      <c r="J424" s="1"/>
      <c r="K424" s="1"/>
      <c r="L424" s="1"/>
      <c r="M424" s="1"/>
      <c r="N424" s="1"/>
      <c r="O424" s="1"/>
      <c r="P424" s="1"/>
      <c r="Q424" s="1"/>
      <c r="R424" s="1"/>
      <c r="S424" s="1"/>
      <c r="T424" s="1"/>
      <c r="U424" s="5"/>
      <c r="V424" s="6"/>
      <c r="W424" s="6"/>
      <c r="X424" s="6"/>
      <c r="Y424" s="6"/>
      <c r="Z424" s="6"/>
      <c r="AA424" s="6"/>
      <c r="AB424" s="5"/>
      <c r="AC424" s="174"/>
      <c r="AD424" s="175"/>
    </row>
    <row r="425" hidden="1">
      <c r="A425" s="1"/>
      <c r="B425" s="1"/>
      <c r="C425" s="1"/>
      <c r="D425" s="1"/>
      <c r="E425" s="1"/>
      <c r="F425" s="1"/>
      <c r="G425" s="1"/>
      <c r="H425" s="1"/>
      <c r="I425" s="1"/>
      <c r="J425" s="1"/>
      <c r="K425" s="1"/>
      <c r="L425" s="1"/>
      <c r="M425" s="1"/>
      <c r="N425" s="1"/>
      <c r="O425" s="1"/>
      <c r="P425" s="1"/>
      <c r="Q425" s="1"/>
      <c r="R425" s="1"/>
      <c r="S425" s="1"/>
      <c r="T425" s="1"/>
      <c r="U425" s="5"/>
      <c r="V425" s="6"/>
      <c r="W425" s="6"/>
      <c r="X425" s="6"/>
      <c r="Y425" s="6"/>
      <c r="Z425" s="6"/>
      <c r="AA425" s="6"/>
      <c r="AB425" s="5"/>
      <c r="AC425" s="174"/>
      <c r="AD425" s="175"/>
    </row>
    <row r="426" hidden="1">
      <c r="A426" s="1"/>
      <c r="B426" s="1"/>
      <c r="C426" s="1"/>
      <c r="D426" s="1"/>
      <c r="E426" s="1"/>
      <c r="F426" s="1"/>
      <c r="G426" s="1"/>
      <c r="H426" s="1"/>
      <c r="I426" s="1"/>
      <c r="J426" s="1"/>
      <c r="K426" s="1"/>
      <c r="L426" s="1"/>
      <c r="M426" s="1"/>
      <c r="N426" s="1"/>
      <c r="O426" s="1"/>
      <c r="P426" s="1"/>
      <c r="Q426" s="1"/>
      <c r="R426" s="1"/>
      <c r="S426" s="1"/>
      <c r="T426" s="1"/>
      <c r="U426" s="5"/>
      <c r="V426" s="6"/>
      <c r="W426" s="6"/>
      <c r="X426" s="6"/>
      <c r="Y426" s="6"/>
      <c r="Z426" s="6"/>
      <c r="AA426" s="6"/>
      <c r="AB426" s="5"/>
      <c r="AC426" s="174"/>
      <c r="AD426" s="175"/>
    </row>
    <row r="427" hidden="1">
      <c r="A427" s="1"/>
      <c r="B427" s="1"/>
      <c r="C427" s="1"/>
      <c r="D427" s="1"/>
      <c r="E427" s="1"/>
      <c r="F427" s="1"/>
      <c r="G427" s="1"/>
      <c r="H427" s="1"/>
      <c r="I427" s="1"/>
      <c r="J427" s="1"/>
      <c r="K427" s="1"/>
      <c r="L427" s="1"/>
      <c r="M427" s="1"/>
      <c r="N427" s="1"/>
      <c r="O427" s="1"/>
      <c r="P427" s="1"/>
      <c r="Q427" s="1"/>
      <c r="R427" s="1"/>
      <c r="S427" s="1"/>
      <c r="T427" s="1"/>
      <c r="U427" s="5"/>
      <c r="V427" s="6"/>
      <c r="W427" s="6"/>
      <c r="X427" s="6"/>
      <c r="Y427" s="6"/>
      <c r="Z427" s="6"/>
      <c r="AA427" s="6"/>
      <c r="AB427" s="5"/>
      <c r="AC427" s="174"/>
      <c r="AD427" s="175"/>
    </row>
    <row r="428" hidden="1">
      <c r="A428" s="1"/>
      <c r="B428" s="1"/>
      <c r="C428" s="1"/>
      <c r="D428" s="1"/>
      <c r="E428" s="1"/>
      <c r="F428" s="1"/>
      <c r="G428" s="1"/>
      <c r="H428" s="1"/>
      <c r="I428" s="1"/>
      <c r="J428" s="1"/>
      <c r="K428" s="1"/>
      <c r="L428" s="1"/>
      <c r="M428" s="1"/>
      <c r="N428" s="1"/>
      <c r="O428" s="1"/>
      <c r="P428" s="1"/>
      <c r="Q428" s="1"/>
      <c r="R428" s="1"/>
      <c r="S428" s="1"/>
      <c r="T428" s="1"/>
      <c r="U428" s="5"/>
      <c r="V428" s="6"/>
      <c r="W428" s="6"/>
      <c r="X428" s="6"/>
      <c r="Y428" s="6"/>
      <c r="Z428" s="6"/>
      <c r="AA428" s="6"/>
      <c r="AB428" s="5"/>
      <c r="AC428" s="174"/>
      <c r="AD428" s="175"/>
    </row>
    <row r="429" hidden="1">
      <c r="A429" s="1"/>
      <c r="B429" s="1"/>
      <c r="C429" s="1"/>
      <c r="D429" s="1"/>
      <c r="E429" s="1"/>
      <c r="F429" s="1"/>
      <c r="G429" s="1"/>
      <c r="H429" s="1"/>
      <c r="I429" s="1"/>
      <c r="J429" s="1"/>
      <c r="K429" s="1"/>
      <c r="L429" s="1"/>
      <c r="M429" s="1"/>
      <c r="N429" s="1"/>
      <c r="O429" s="1"/>
      <c r="P429" s="1"/>
      <c r="Q429" s="1"/>
      <c r="R429" s="1"/>
      <c r="S429" s="1"/>
      <c r="T429" s="1"/>
      <c r="U429" s="5"/>
      <c r="V429" s="6"/>
      <c r="W429" s="6"/>
      <c r="X429" s="6"/>
      <c r="Y429" s="6"/>
      <c r="Z429" s="6"/>
      <c r="AA429" s="6"/>
      <c r="AB429" s="5"/>
      <c r="AC429" s="174"/>
      <c r="AD429" s="175"/>
    </row>
    <row r="430" hidden="1">
      <c r="A430" s="1"/>
      <c r="B430" s="1"/>
      <c r="C430" s="1"/>
      <c r="D430" s="1"/>
      <c r="E430" s="1"/>
      <c r="F430" s="1"/>
      <c r="G430" s="1"/>
      <c r="H430" s="1"/>
      <c r="I430" s="1"/>
      <c r="J430" s="1"/>
      <c r="K430" s="1"/>
      <c r="L430" s="1"/>
      <c r="M430" s="1"/>
      <c r="N430" s="1"/>
      <c r="O430" s="1"/>
      <c r="P430" s="1"/>
      <c r="Q430" s="1"/>
      <c r="R430" s="1"/>
      <c r="S430" s="1"/>
      <c r="T430" s="1"/>
      <c r="U430" s="5"/>
      <c r="V430" s="6"/>
      <c r="W430" s="6"/>
      <c r="X430" s="6"/>
      <c r="Y430" s="6"/>
      <c r="Z430" s="6"/>
      <c r="AA430" s="6"/>
      <c r="AB430" s="5"/>
      <c r="AC430" s="174"/>
      <c r="AD430" s="175"/>
    </row>
    <row r="431" hidden="1">
      <c r="A431" s="1"/>
      <c r="B431" s="1"/>
      <c r="C431" s="1"/>
      <c r="D431" s="1"/>
      <c r="E431" s="1"/>
      <c r="F431" s="1"/>
      <c r="G431" s="1"/>
      <c r="H431" s="1"/>
      <c r="I431" s="1"/>
      <c r="J431" s="1"/>
      <c r="K431" s="1"/>
      <c r="L431" s="1"/>
      <c r="M431" s="1"/>
      <c r="N431" s="1"/>
      <c r="O431" s="1"/>
      <c r="P431" s="1"/>
      <c r="Q431" s="1"/>
      <c r="R431" s="1"/>
      <c r="S431" s="1"/>
      <c r="T431" s="1"/>
      <c r="U431" s="5"/>
      <c r="V431" s="6"/>
      <c r="W431" s="6"/>
      <c r="X431" s="6"/>
      <c r="Y431" s="6"/>
      <c r="Z431" s="6"/>
      <c r="AA431" s="6"/>
      <c r="AB431" s="5"/>
      <c r="AC431" s="174"/>
      <c r="AD431" s="175"/>
    </row>
    <row r="432" hidden="1">
      <c r="A432" s="1"/>
      <c r="B432" s="1"/>
      <c r="C432" s="1"/>
      <c r="D432" s="1"/>
      <c r="E432" s="1"/>
      <c r="F432" s="1"/>
      <c r="G432" s="1"/>
      <c r="H432" s="1"/>
      <c r="I432" s="1"/>
      <c r="J432" s="1"/>
      <c r="K432" s="1"/>
      <c r="L432" s="1"/>
      <c r="M432" s="1"/>
      <c r="N432" s="1"/>
      <c r="O432" s="1"/>
      <c r="P432" s="1"/>
      <c r="Q432" s="1"/>
      <c r="R432" s="1"/>
      <c r="S432" s="1"/>
      <c r="T432" s="1"/>
      <c r="U432" s="5"/>
      <c r="V432" s="6"/>
      <c r="W432" s="6"/>
      <c r="X432" s="6"/>
      <c r="Y432" s="6"/>
      <c r="Z432" s="6"/>
      <c r="AA432" s="6"/>
      <c r="AB432" s="5"/>
      <c r="AC432" s="174"/>
      <c r="AD432" s="175"/>
    </row>
    <row r="433" hidden="1">
      <c r="A433" s="1"/>
      <c r="B433" s="1"/>
      <c r="C433" s="1"/>
      <c r="D433" s="1"/>
      <c r="E433" s="1"/>
      <c r="F433" s="1"/>
      <c r="G433" s="1"/>
      <c r="H433" s="1"/>
      <c r="I433" s="1"/>
      <c r="J433" s="1"/>
      <c r="K433" s="1"/>
      <c r="L433" s="1"/>
      <c r="M433" s="1"/>
      <c r="N433" s="1"/>
      <c r="O433" s="1"/>
      <c r="P433" s="1"/>
      <c r="Q433" s="1"/>
      <c r="R433" s="1"/>
      <c r="S433" s="1"/>
      <c r="T433" s="1"/>
      <c r="U433" s="5"/>
      <c r="V433" s="6"/>
      <c r="W433" s="6"/>
      <c r="X433" s="6"/>
      <c r="Y433" s="6"/>
      <c r="Z433" s="6"/>
      <c r="AA433" s="6"/>
      <c r="AB433" s="5"/>
      <c r="AC433" s="174"/>
      <c r="AD433" s="175"/>
    </row>
    <row r="434" hidden="1">
      <c r="A434" s="1"/>
      <c r="B434" s="1"/>
      <c r="C434" s="1"/>
      <c r="D434" s="1"/>
      <c r="E434" s="1"/>
      <c r="F434" s="1"/>
      <c r="G434" s="1"/>
      <c r="H434" s="1"/>
      <c r="I434" s="1"/>
      <c r="J434" s="1"/>
      <c r="K434" s="1"/>
      <c r="L434" s="1"/>
      <c r="M434" s="1"/>
      <c r="N434" s="1"/>
      <c r="O434" s="1"/>
      <c r="P434" s="1"/>
      <c r="Q434" s="1"/>
      <c r="R434" s="1"/>
      <c r="S434" s="1"/>
      <c r="T434" s="1"/>
      <c r="U434" s="5"/>
      <c r="V434" s="6"/>
      <c r="W434" s="6"/>
      <c r="X434" s="6"/>
      <c r="Y434" s="6"/>
      <c r="Z434" s="6"/>
      <c r="AA434" s="6"/>
      <c r="AB434" s="5"/>
      <c r="AC434" s="174"/>
      <c r="AD434" s="175"/>
    </row>
    <row r="435" hidden="1">
      <c r="A435" s="1"/>
      <c r="B435" s="1"/>
      <c r="C435" s="1"/>
      <c r="D435" s="1"/>
      <c r="E435" s="1"/>
      <c r="F435" s="1"/>
      <c r="G435" s="1"/>
      <c r="H435" s="1"/>
      <c r="I435" s="1"/>
      <c r="J435" s="1"/>
      <c r="K435" s="1"/>
      <c r="L435" s="1"/>
      <c r="M435" s="1"/>
      <c r="N435" s="1"/>
      <c r="O435" s="1"/>
      <c r="P435" s="1"/>
      <c r="Q435" s="1"/>
      <c r="R435" s="1"/>
      <c r="S435" s="1"/>
      <c r="T435" s="1"/>
      <c r="U435" s="5"/>
      <c r="V435" s="6"/>
      <c r="W435" s="6"/>
      <c r="X435" s="6"/>
      <c r="Y435" s="6"/>
      <c r="Z435" s="6"/>
      <c r="AA435" s="6"/>
      <c r="AB435" s="5"/>
      <c r="AC435" s="174"/>
      <c r="AD435" s="175"/>
    </row>
    <row r="436" hidden="1">
      <c r="A436" s="1"/>
      <c r="B436" s="1"/>
      <c r="C436" s="1"/>
      <c r="D436" s="1"/>
      <c r="E436" s="1"/>
      <c r="F436" s="1"/>
      <c r="G436" s="1"/>
      <c r="H436" s="1"/>
      <c r="I436" s="1"/>
      <c r="J436" s="1"/>
      <c r="K436" s="1"/>
      <c r="L436" s="1"/>
      <c r="M436" s="1"/>
      <c r="N436" s="1"/>
      <c r="O436" s="1"/>
      <c r="P436" s="1"/>
      <c r="Q436" s="1"/>
      <c r="R436" s="1"/>
      <c r="S436" s="1"/>
      <c r="T436" s="1"/>
      <c r="U436" s="5"/>
      <c r="V436" s="6"/>
      <c r="W436" s="6"/>
      <c r="X436" s="6"/>
      <c r="Y436" s="6"/>
      <c r="Z436" s="6"/>
      <c r="AA436" s="6"/>
      <c r="AB436" s="5"/>
      <c r="AC436" s="174"/>
      <c r="AD436" s="175"/>
    </row>
    <row r="437" hidden="1">
      <c r="A437" s="1"/>
      <c r="B437" s="1"/>
      <c r="C437" s="1"/>
      <c r="D437" s="1"/>
      <c r="E437" s="1"/>
      <c r="F437" s="1"/>
      <c r="G437" s="1"/>
      <c r="H437" s="1"/>
      <c r="I437" s="1"/>
      <c r="J437" s="1"/>
      <c r="K437" s="1"/>
      <c r="L437" s="1"/>
      <c r="M437" s="1"/>
      <c r="N437" s="1"/>
      <c r="O437" s="1"/>
      <c r="P437" s="1"/>
      <c r="Q437" s="1"/>
      <c r="R437" s="1"/>
      <c r="S437" s="1"/>
      <c r="T437" s="1"/>
      <c r="U437" s="5"/>
      <c r="V437" s="6"/>
      <c r="W437" s="6"/>
      <c r="X437" s="6"/>
      <c r="Y437" s="6"/>
      <c r="Z437" s="6"/>
      <c r="AA437" s="6"/>
      <c r="AB437" s="5"/>
      <c r="AC437" s="174"/>
      <c r="AD437" s="175"/>
    </row>
    <row r="438" hidden="1">
      <c r="A438" s="1"/>
      <c r="B438" s="1"/>
      <c r="C438" s="1"/>
      <c r="D438" s="1"/>
      <c r="E438" s="1"/>
      <c r="F438" s="1"/>
      <c r="G438" s="1"/>
      <c r="H438" s="1"/>
      <c r="I438" s="1"/>
      <c r="J438" s="1"/>
      <c r="K438" s="1"/>
      <c r="L438" s="1"/>
      <c r="M438" s="1"/>
      <c r="N438" s="1"/>
      <c r="O438" s="1"/>
      <c r="P438" s="1"/>
      <c r="Q438" s="1"/>
      <c r="R438" s="1"/>
      <c r="S438" s="1"/>
      <c r="T438" s="1"/>
      <c r="U438" s="5"/>
      <c r="V438" s="6"/>
      <c r="W438" s="6"/>
      <c r="X438" s="6"/>
      <c r="Y438" s="6"/>
      <c r="Z438" s="6"/>
      <c r="AA438" s="6"/>
      <c r="AB438" s="5"/>
      <c r="AC438" s="174"/>
      <c r="AD438" s="175"/>
    </row>
    <row r="439" hidden="1">
      <c r="A439" s="1"/>
      <c r="B439" s="1"/>
      <c r="C439" s="1"/>
      <c r="D439" s="1"/>
      <c r="E439" s="1"/>
      <c r="F439" s="1"/>
      <c r="G439" s="1"/>
      <c r="H439" s="1"/>
      <c r="I439" s="1"/>
      <c r="J439" s="1"/>
      <c r="K439" s="1"/>
      <c r="L439" s="1"/>
      <c r="M439" s="1"/>
      <c r="N439" s="1"/>
      <c r="O439" s="1"/>
      <c r="P439" s="1"/>
      <c r="Q439" s="1"/>
      <c r="R439" s="1"/>
      <c r="S439" s="1"/>
      <c r="T439" s="1"/>
      <c r="U439" s="5"/>
      <c r="V439" s="6"/>
      <c r="W439" s="6"/>
      <c r="X439" s="6"/>
      <c r="Y439" s="6"/>
      <c r="Z439" s="6"/>
      <c r="AA439" s="6"/>
      <c r="AB439" s="5"/>
      <c r="AC439" s="174"/>
      <c r="AD439" s="175"/>
    </row>
    <row r="440" hidden="1">
      <c r="A440" s="1"/>
      <c r="B440" s="1"/>
      <c r="C440" s="1"/>
      <c r="D440" s="1"/>
      <c r="E440" s="1"/>
      <c r="F440" s="1"/>
      <c r="G440" s="1"/>
      <c r="H440" s="1"/>
      <c r="I440" s="1"/>
      <c r="J440" s="1"/>
      <c r="K440" s="1"/>
      <c r="L440" s="1"/>
      <c r="M440" s="1"/>
      <c r="N440" s="1"/>
      <c r="O440" s="1"/>
      <c r="P440" s="1"/>
      <c r="Q440" s="1"/>
      <c r="R440" s="1"/>
      <c r="S440" s="1"/>
      <c r="T440" s="1"/>
      <c r="U440" s="5"/>
      <c r="V440" s="6"/>
      <c r="W440" s="6"/>
      <c r="X440" s="6"/>
      <c r="Y440" s="6"/>
      <c r="Z440" s="6"/>
      <c r="AA440" s="6"/>
      <c r="AB440" s="5"/>
      <c r="AC440" s="174"/>
      <c r="AD440" s="175"/>
    </row>
    <row r="441" hidden="1">
      <c r="A441" s="1"/>
      <c r="B441" s="1"/>
      <c r="C441" s="1"/>
      <c r="D441" s="1"/>
      <c r="E441" s="1"/>
      <c r="F441" s="1"/>
      <c r="G441" s="1"/>
      <c r="H441" s="1"/>
      <c r="I441" s="1"/>
      <c r="J441" s="1"/>
      <c r="K441" s="1"/>
      <c r="L441" s="1"/>
      <c r="M441" s="1"/>
      <c r="N441" s="1"/>
      <c r="O441" s="1"/>
      <c r="P441" s="1"/>
      <c r="Q441" s="1"/>
      <c r="R441" s="1"/>
      <c r="S441" s="1"/>
      <c r="T441" s="1"/>
      <c r="U441" s="5"/>
      <c r="V441" s="6"/>
      <c r="W441" s="6"/>
      <c r="X441" s="6"/>
      <c r="Y441" s="6"/>
      <c r="Z441" s="6"/>
      <c r="AA441" s="6"/>
      <c r="AB441" s="5"/>
      <c r="AC441" s="174"/>
      <c r="AD441" s="175"/>
    </row>
    <row r="442" hidden="1">
      <c r="A442" s="1"/>
      <c r="B442" s="1"/>
      <c r="C442" s="1"/>
      <c r="D442" s="1"/>
      <c r="E442" s="1"/>
      <c r="F442" s="1"/>
      <c r="G442" s="1"/>
      <c r="H442" s="1"/>
      <c r="I442" s="1"/>
      <c r="J442" s="1"/>
      <c r="K442" s="1"/>
      <c r="L442" s="1"/>
      <c r="M442" s="1"/>
      <c r="N442" s="1"/>
      <c r="O442" s="1"/>
      <c r="P442" s="1"/>
      <c r="Q442" s="1"/>
      <c r="R442" s="1"/>
      <c r="S442" s="1"/>
      <c r="T442" s="1"/>
      <c r="U442" s="5"/>
      <c r="V442" s="6"/>
      <c r="W442" s="6"/>
      <c r="X442" s="6"/>
      <c r="Y442" s="6"/>
      <c r="Z442" s="6"/>
      <c r="AA442" s="6"/>
      <c r="AB442" s="5"/>
      <c r="AC442" s="174"/>
      <c r="AD442" s="175"/>
    </row>
    <row r="443" hidden="1">
      <c r="A443" s="1"/>
      <c r="B443" s="1"/>
      <c r="C443" s="1"/>
      <c r="D443" s="1"/>
      <c r="E443" s="1"/>
      <c r="F443" s="1"/>
      <c r="G443" s="1"/>
      <c r="H443" s="1"/>
      <c r="I443" s="1"/>
      <c r="J443" s="1"/>
      <c r="K443" s="1"/>
      <c r="L443" s="1"/>
      <c r="M443" s="1"/>
      <c r="N443" s="1"/>
      <c r="O443" s="1"/>
      <c r="P443" s="1"/>
      <c r="Q443" s="1"/>
      <c r="R443" s="1"/>
      <c r="S443" s="1"/>
      <c r="T443" s="1"/>
      <c r="U443" s="5"/>
      <c r="V443" s="6"/>
      <c r="W443" s="6"/>
      <c r="X443" s="6"/>
      <c r="Y443" s="6"/>
      <c r="Z443" s="6"/>
      <c r="AA443" s="6"/>
      <c r="AB443" s="5"/>
      <c r="AC443" s="174"/>
      <c r="AD443" s="175"/>
    </row>
    <row r="444" hidden="1">
      <c r="A444" s="1"/>
      <c r="B444" s="1"/>
      <c r="C444" s="1"/>
      <c r="D444" s="1"/>
      <c r="E444" s="1"/>
      <c r="F444" s="1"/>
      <c r="G444" s="1"/>
      <c r="H444" s="1"/>
      <c r="I444" s="1"/>
      <c r="J444" s="1"/>
      <c r="K444" s="1"/>
      <c r="L444" s="1"/>
      <c r="M444" s="1"/>
      <c r="N444" s="1"/>
      <c r="O444" s="1"/>
      <c r="P444" s="1"/>
      <c r="Q444" s="1"/>
      <c r="R444" s="1"/>
      <c r="S444" s="1"/>
      <c r="T444" s="1"/>
      <c r="U444" s="5"/>
      <c r="V444" s="6"/>
      <c r="W444" s="6"/>
      <c r="X444" s="6"/>
      <c r="Y444" s="6"/>
      <c r="Z444" s="6"/>
      <c r="AA444" s="6"/>
      <c r="AB444" s="5"/>
      <c r="AC444" s="174"/>
      <c r="AD444" s="175"/>
    </row>
    <row r="445" hidden="1">
      <c r="A445" s="1"/>
      <c r="B445" s="1"/>
      <c r="C445" s="1"/>
      <c r="D445" s="1"/>
      <c r="E445" s="1"/>
      <c r="F445" s="1"/>
      <c r="G445" s="1"/>
      <c r="H445" s="1"/>
      <c r="I445" s="1"/>
      <c r="J445" s="1"/>
      <c r="K445" s="1"/>
      <c r="L445" s="1"/>
      <c r="M445" s="1"/>
      <c r="N445" s="1"/>
      <c r="O445" s="1"/>
      <c r="P445" s="1"/>
      <c r="Q445" s="1"/>
      <c r="R445" s="1"/>
      <c r="S445" s="1"/>
      <c r="T445" s="1"/>
      <c r="U445" s="5"/>
      <c r="V445" s="6"/>
      <c r="W445" s="6"/>
      <c r="X445" s="6"/>
      <c r="Y445" s="6"/>
      <c r="Z445" s="6"/>
      <c r="AA445" s="6"/>
      <c r="AB445" s="5"/>
      <c r="AC445" s="174"/>
      <c r="AD445" s="175"/>
    </row>
    <row r="446" hidden="1">
      <c r="A446" s="1"/>
      <c r="B446" s="1"/>
      <c r="C446" s="1"/>
      <c r="D446" s="1"/>
      <c r="E446" s="1"/>
      <c r="F446" s="1"/>
      <c r="G446" s="1"/>
      <c r="H446" s="1"/>
      <c r="I446" s="1"/>
      <c r="J446" s="1"/>
      <c r="K446" s="1"/>
      <c r="L446" s="1"/>
      <c r="M446" s="1"/>
      <c r="N446" s="1"/>
      <c r="O446" s="1"/>
      <c r="P446" s="1"/>
      <c r="Q446" s="1"/>
      <c r="R446" s="1"/>
      <c r="S446" s="1"/>
      <c r="T446" s="1"/>
      <c r="U446" s="5"/>
      <c r="V446" s="6"/>
      <c r="W446" s="6"/>
      <c r="X446" s="6"/>
      <c r="Y446" s="6"/>
      <c r="Z446" s="6"/>
      <c r="AA446" s="6"/>
      <c r="AB446" s="5"/>
      <c r="AC446" s="174"/>
      <c r="AD446" s="175"/>
    </row>
    <row r="447" hidden="1">
      <c r="A447" s="1"/>
      <c r="B447" s="1"/>
      <c r="C447" s="1"/>
      <c r="D447" s="1"/>
      <c r="E447" s="1"/>
      <c r="F447" s="1"/>
      <c r="G447" s="1"/>
      <c r="H447" s="1"/>
      <c r="I447" s="1"/>
      <c r="J447" s="1"/>
      <c r="K447" s="1"/>
      <c r="L447" s="1"/>
      <c r="M447" s="1"/>
      <c r="N447" s="1"/>
      <c r="O447" s="1"/>
      <c r="P447" s="1"/>
      <c r="Q447" s="1"/>
      <c r="R447" s="1"/>
      <c r="S447" s="1"/>
      <c r="T447" s="1"/>
      <c r="U447" s="5"/>
      <c r="V447" s="6"/>
      <c r="W447" s="6"/>
      <c r="X447" s="6"/>
      <c r="Y447" s="6"/>
      <c r="Z447" s="6"/>
      <c r="AA447" s="6"/>
      <c r="AB447" s="5"/>
      <c r="AC447" s="262"/>
      <c r="AD447" s="96"/>
    </row>
    <row r="448" hidden="1">
      <c r="A448" s="1"/>
      <c r="B448" s="1"/>
      <c r="C448" s="1"/>
      <c r="D448" s="1"/>
      <c r="E448" s="1"/>
      <c r="F448" s="1"/>
      <c r="G448" s="1"/>
      <c r="H448" s="1"/>
      <c r="I448" s="1"/>
      <c r="J448" s="1"/>
      <c r="K448" s="1"/>
      <c r="L448" s="1"/>
      <c r="M448" s="1"/>
      <c r="N448" s="1"/>
      <c r="O448" s="1"/>
      <c r="P448" s="1"/>
      <c r="Q448" s="1"/>
      <c r="R448" s="1"/>
      <c r="S448" s="1"/>
      <c r="T448" s="1"/>
      <c r="U448" s="5"/>
      <c r="V448" s="6"/>
      <c r="W448" s="6"/>
      <c r="X448" s="6"/>
      <c r="Y448" s="6"/>
      <c r="Z448" s="6"/>
      <c r="AA448" s="6"/>
      <c r="AB448" s="5"/>
      <c r="AC448" s="262"/>
      <c r="AD448" s="96"/>
    </row>
    <row r="449" hidden="1">
      <c r="A449" s="1"/>
      <c r="B449" s="1"/>
      <c r="C449" s="1"/>
      <c r="D449" s="1"/>
      <c r="E449" s="1"/>
      <c r="F449" s="1"/>
      <c r="G449" s="1"/>
      <c r="H449" s="1"/>
      <c r="I449" s="1"/>
      <c r="J449" s="1"/>
      <c r="K449" s="1"/>
      <c r="L449" s="1"/>
      <c r="M449" s="1"/>
      <c r="N449" s="1"/>
      <c r="O449" s="1"/>
      <c r="P449" s="1"/>
      <c r="Q449" s="1"/>
      <c r="R449" s="1"/>
      <c r="S449" s="1"/>
      <c r="T449" s="1"/>
      <c r="U449" s="5"/>
      <c r="V449" s="6"/>
      <c r="W449" s="6"/>
      <c r="X449" s="6"/>
      <c r="Y449" s="6"/>
      <c r="Z449" s="6"/>
      <c r="AA449" s="6"/>
      <c r="AB449" s="5"/>
      <c r="AC449" s="262"/>
      <c r="AD449" s="96"/>
    </row>
  </sheetData>
  <mergeCells count="195">
    <mergeCell ref="M55:M58"/>
    <mergeCell ref="N55:N58"/>
    <mergeCell ref="O55:O58"/>
    <mergeCell ref="P55:P58"/>
    <mergeCell ref="Q55:Q58"/>
    <mergeCell ref="R55:R58"/>
    <mergeCell ref="S55:S58"/>
    <mergeCell ref="K62:M62"/>
    <mergeCell ref="R62:T62"/>
    <mergeCell ref="T55:T58"/>
    <mergeCell ref="C60:T60"/>
    <mergeCell ref="C61:C62"/>
    <mergeCell ref="D61:D62"/>
    <mergeCell ref="E61:E62"/>
    <mergeCell ref="F61:F62"/>
    <mergeCell ref="G61:G62"/>
    <mergeCell ref="F8:J16"/>
    <mergeCell ref="F18:K18"/>
    <mergeCell ref="C1:T1"/>
    <mergeCell ref="E3:T3"/>
    <mergeCell ref="C5:E7"/>
    <mergeCell ref="F5:H7"/>
    <mergeCell ref="I5:J5"/>
    <mergeCell ref="I6:J7"/>
    <mergeCell ref="L14:T14"/>
    <mergeCell ref="C32:T32"/>
    <mergeCell ref="D8:E8"/>
    <mergeCell ref="D9:E9"/>
    <mergeCell ref="D17:E17"/>
    <mergeCell ref="D18:E18"/>
    <mergeCell ref="D19:E19"/>
    <mergeCell ref="D55:D58"/>
    <mergeCell ref="E55:E58"/>
    <mergeCell ref="F55:F58"/>
    <mergeCell ref="G55:G58"/>
    <mergeCell ref="H55:H58"/>
    <mergeCell ref="I55:I58"/>
    <mergeCell ref="J55:J58"/>
    <mergeCell ref="K55:K58"/>
    <mergeCell ref="L55:L58"/>
    <mergeCell ref="J61:J62"/>
    <mergeCell ref="K61:M61"/>
    <mergeCell ref="K63:M63"/>
    <mergeCell ref="K64:M64"/>
    <mergeCell ref="K65:M65"/>
    <mergeCell ref="K66:M66"/>
    <mergeCell ref="K67:M67"/>
    <mergeCell ref="P61:P62"/>
    <mergeCell ref="Q61:Q62"/>
    <mergeCell ref="P63:P65"/>
    <mergeCell ref="Q63:Q65"/>
    <mergeCell ref="R65:T65"/>
    <mergeCell ref="P66:P67"/>
    <mergeCell ref="Q66:Q67"/>
    <mergeCell ref="H61:H62"/>
    <mergeCell ref="I61:I62"/>
    <mergeCell ref="C69:C70"/>
    <mergeCell ref="D69:D70"/>
    <mergeCell ref="E69:E70"/>
    <mergeCell ref="F69:F70"/>
    <mergeCell ref="G69:G70"/>
    <mergeCell ref="H86:H87"/>
    <mergeCell ref="I86:I87"/>
    <mergeCell ref="J86:J87"/>
    <mergeCell ref="K86:M86"/>
    <mergeCell ref="K87:M87"/>
    <mergeCell ref="P86:P87"/>
    <mergeCell ref="Q86:Q87"/>
    <mergeCell ref="P82:P83"/>
    <mergeCell ref="Q82:Q83"/>
    <mergeCell ref="K83:M83"/>
    <mergeCell ref="C85:T85"/>
    <mergeCell ref="C86:C87"/>
    <mergeCell ref="D86:D87"/>
    <mergeCell ref="E86:E87"/>
    <mergeCell ref="R87:T87"/>
    <mergeCell ref="P88:P90"/>
    <mergeCell ref="Q88:Q90"/>
    <mergeCell ref="R90:T90"/>
    <mergeCell ref="P91:P92"/>
    <mergeCell ref="Q91:Q92"/>
    <mergeCell ref="F86:F87"/>
    <mergeCell ref="G86:G87"/>
    <mergeCell ref="K88:M88"/>
    <mergeCell ref="K89:M89"/>
    <mergeCell ref="K90:M90"/>
    <mergeCell ref="K91:M91"/>
    <mergeCell ref="K92:M92"/>
    <mergeCell ref="C94:C95"/>
    <mergeCell ref="D94:D95"/>
    <mergeCell ref="E94:E95"/>
    <mergeCell ref="F94:F95"/>
    <mergeCell ref="G94:G95"/>
    <mergeCell ref="H94:H95"/>
    <mergeCell ref="I94:I95"/>
    <mergeCell ref="J94:J95"/>
    <mergeCell ref="K94:M94"/>
    <mergeCell ref="P94:P95"/>
    <mergeCell ref="Q94:Q95"/>
    <mergeCell ref="K95:M95"/>
    <mergeCell ref="R95:T95"/>
    <mergeCell ref="K96:M96"/>
    <mergeCell ref="H102:H103"/>
    <mergeCell ref="I102:I103"/>
    <mergeCell ref="K99:M99"/>
    <mergeCell ref="K100:M100"/>
    <mergeCell ref="C102:C103"/>
    <mergeCell ref="D102:D103"/>
    <mergeCell ref="E102:E103"/>
    <mergeCell ref="F102:F103"/>
    <mergeCell ref="G102:G103"/>
    <mergeCell ref="K104:M104"/>
    <mergeCell ref="K103:M103"/>
    <mergeCell ref="K105:M105"/>
    <mergeCell ref="K107:M107"/>
    <mergeCell ref="J102:J103"/>
    <mergeCell ref="K102:M102"/>
    <mergeCell ref="P102:P103"/>
    <mergeCell ref="Q102:Q103"/>
    <mergeCell ref="R103:T103"/>
    <mergeCell ref="P104:P106"/>
    <mergeCell ref="Q104:Q106"/>
    <mergeCell ref="K106:M106"/>
    <mergeCell ref="R106:T106"/>
    <mergeCell ref="P107:P108"/>
    <mergeCell ref="Q107:Q108"/>
    <mergeCell ref="K108:M108"/>
    <mergeCell ref="C110:N110"/>
    <mergeCell ref="P110:T110"/>
    <mergeCell ref="C111:M111"/>
    <mergeCell ref="C112:M112"/>
    <mergeCell ref="C113:M113"/>
    <mergeCell ref="C114:M114"/>
    <mergeCell ref="C115:M115"/>
    <mergeCell ref="C116:M116"/>
    <mergeCell ref="C117:M117"/>
    <mergeCell ref="C121:M121"/>
    <mergeCell ref="C122:M122"/>
    <mergeCell ref="R122:S122"/>
    <mergeCell ref="C123:M123"/>
    <mergeCell ref="R123:S123"/>
    <mergeCell ref="C124:M124"/>
    <mergeCell ref="R124:S124"/>
    <mergeCell ref="C118:M118"/>
    <mergeCell ref="P118:T118"/>
    <mergeCell ref="C119:M119"/>
    <mergeCell ref="R119:S119"/>
    <mergeCell ref="C120:M120"/>
    <mergeCell ref="R120:S120"/>
    <mergeCell ref="R121:S121"/>
    <mergeCell ref="H69:H70"/>
    <mergeCell ref="I69:I70"/>
    <mergeCell ref="J69:J70"/>
    <mergeCell ref="K69:M69"/>
    <mergeCell ref="P69:P70"/>
    <mergeCell ref="Q69:Q70"/>
    <mergeCell ref="R70:T70"/>
    <mergeCell ref="K70:M70"/>
    <mergeCell ref="K71:M71"/>
    <mergeCell ref="Q71:Q73"/>
    <mergeCell ref="K72:M72"/>
    <mergeCell ref="K73:M73"/>
    <mergeCell ref="R73:T73"/>
    <mergeCell ref="K74:M74"/>
    <mergeCell ref="I77:I78"/>
    <mergeCell ref="J77:J78"/>
    <mergeCell ref="K77:M77"/>
    <mergeCell ref="K78:M78"/>
    <mergeCell ref="R78:T78"/>
    <mergeCell ref="K79:M79"/>
    <mergeCell ref="K80:M80"/>
    <mergeCell ref="K81:M81"/>
    <mergeCell ref="R81:T81"/>
    <mergeCell ref="K82:M82"/>
    <mergeCell ref="K75:M75"/>
    <mergeCell ref="C77:C78"/>
    <mergeCell ref="D77:D78"/>
    <mergeCell ref="E77:E78"/>
    <mergeCell ref="F77:F78"/>
    <mergeCell ref="G77:G78"/>
    <mergeCell ref="H77:H78"/>
    <mergeCell ref="P71:P73"/>
    <mergeCell ref="P74:P75"/>
    <mergeCell ref="Q74:Q75"/>
    <mergeCell ref="P77:P78"/>
    <mergeCell ref="Q77:Q78"/>
    <mergeCell ref="P79:P81"/>
    <mergeCell ref="Q79:Q81"/>
    <mergeCell ref="P96:P98"/>
    <mergeCell ref="Q96:Q98"/>
    <mergeCell ref="K97:M97"/>
    <mergeCell ref="K98:M98"/>
    <mergeCell ref="R98:T98"/>
    <mergeCell ref="P99:P100"/>
    <mergeCell ref="Q99:Q100"/>
  </mergeCells>
  <conditionalFormatting sqref="N111:N124">
    <cfRule type="containsText" dxfId="3" priority="1" operator="containsText" text="yes">
      <formula>NOT(ISERROR(SEARCH(("yes"),(N111))))</formula>
    </cfRule>
  </conditionalFormatting>
  <conditionalFormatting sqref="N111:N124">
    <cfRule type="containsText" dxfId="4" priority="2" operator="containsText" text="no">
      <formula>NOT(ISERROR(SEARCH(("no"),(N111))))</formula>
    </cfRule>
  </conditionalFormatting>
  <conditionalFormatting sqref="N111:N124">
    <cfRule type="containsText" dxfId="5" priority="3" operator="containsText" text="meh">
      <formula>NOT(ISERROR(SEARCH(("meh"),(N111))))</formula>
    </cfRule>
  </conditionalFormatting>
  <conditionalFormatting sqref="S6:T8">
    <cfRule type="cellIs" dxfId="4" priority="4" operator="lessThan">
      <formula>0</formula>
    </cfRule>
  </conditionalFormatting>
  <conditionalFormatting sqref="K9 K11 R11:T11">
    <cfRule type="expression" dxfId="3" priority="5">
      <formula>K9&gt;$I$6</formula>
    </cfRule>
  </conditionalFormatting>
  <conditionalFormatting sqref="L16:T16">
    <cfRule type="colorScale" priority="6">
      <colorScale>
        <cfvo type="formula" val="-0.05"/>
        <cfvo type="formula" val="0.1"/>
        <cfvo type="formula" val="0.25"/>
        <color rgb="FFE67C73"/>
        <color rgb="FFFFFFFF"/>
        <color rgb="FF57BB8A"/>
      </colorScale>
    </cfRule>
  </conditionalFormatting>
  <conditionalFormatting sqref="S6:S8">
    <cfRule type="colorScale" priority="7">
      <colorScale>
        <cfvo type="formula" val="0.12"/>
        <cfvo type="formula" val="0.35"/>
        <color rgb="FFFFFFFF"/>
        <color rgb="FF57BB8A"/>
      </colorScale>
    </cfRule>
  </conditionalFormatting>
  <conditionalFormatting sqref="T6:T8">
    <cfRule type="colorScale" priority="8">
      <colorScale>
        <cfvo type="formula" val="0.1"/>
        <cfvo type="formula" val="1"/>
        <color rgb="FFFFFFFF"/>
        <color rgb="FF57BB8A"/>
      </colorScale>
    </cfRule>
  </conditionalFormatting>
  <conditionalFormatting sqref="P112:T116">
    <cfRule type="expression" dxfId="4" priority="9">
      <formula>$Q112:$Q116="Downgrade"</formula>
    </cfRule>
  </conditionalFormatting>
  <conditionalFormatting sqref="P112:T116">
    <cfRule type="expression" dxfId="3" priority="10">
      <formula>$Q112:$Q116="Upgrade"</formula>
    </cfRule>
  </conditionalFormatting>
  <conditionalFormatting sqref="T119">
    <cfRule type="cellIs" dxfId="3" priority="11" operator="greaterThan">
      <formula>0.1</formula>
    </cfRule>
  </conditionalFormatting>
  <conditionalFormatting sqref="T119">
    <cfRule type="cellIs" dxfId="6" priority="12" operator="lessThan">
      <formula>0.02</formula>
    </cfRule>
  </conditionalFormatting>
  <conditionalFormatting sqref="O52:Q53 T120">
    <cfRule type="cellIs" dxfId="6" priority="13" operator="lessThan">
      <formula>0</formula>
    </cfRule>
  </conditionalFormatting>
  <conditionalFormatting sqref="T123">
    <cfRule type="cellIs" dxfId="6" priority="14" operator="lessThan">
      <formula>0.007</formula>
    </cfRule>
  </conditionalFormatting>
  <conditionalFormatting sqref="T120">
    <cfRule type="cellIs" dxfId="7" priority="15" operator="greaterThan">
      <formula>0</formula>
    </cfRule>
  </conditionalFormatting>
  <conditionalFormatting sqref="T124">
    <cfRule type="cellIs" dxfId="7" priority="16" operator="greaterThan">
      <formula>0</formula>
    </cfRule>
  </conditionalFormatting>
  <conditionalFormatting sqref="T124">
    <cfRule type="cellIs" dxfId="6" priority="17" operator="lessThan">
      <formula>0</formula>
    </cfRule>
  </conditionalFormatting>
  <conditionalFormatting sqref="Q119:Q124">
    <cfRule type="cellIs" dxfId="6" priority="18" operator="lessThan">
      <formula>0</formula>
    </cfRule>
  </conditionalFormatting>
  <conditionalFormatting sqref="C3">
    <cfRule type="containsText" dxfId="4" priority="19" operator="containsText" text="Load">
      <formula>NOT(ISERROR(SEARCH(("Load"),(C3))))</formula>
    </cfRule>
  </conditionalFormatting>
  <conditionalFormatting sqref="C3">
    <cfRule type="containsText" dxfId="3" priority="20" operator="containsText" text="Static">
      <formula>NOT(ISERROR(SEARCH(("Static"),(C3))))</formula>
    </cfRule>
  </conditionalFormatting>
  <conditionalFormatting sqref="D34:L53 O34:P53 T34:T53">
    <cfRule type="cellIs" dxfId="6" priority="21" operator="lessThan">
      <formula>0</formula>
    </cfRule>
  </conditionalFormatting>
  <conditionalFormatting sqref="M34:M53 Q34:Q53">
    <cfRule type="cellIs" dxfId="7" priority="22" operator="lessThan">
      <formula>0</formula>
    </cfRule>
  </conditionalFormatting>
  <conditionalFormatting sqref="C3">
    <cfRule type="containsText" dxfId="8" priority="23" operator="containsText" text="Update">
      <formula>NOT(ISERROR(SEARCH(("Update"),(C3))))</formula>
    </cfRule>
  </conditionalFormatting>
  <conditionalFormatting sqref="E13">
    <cfRule type="colorScale" priority="24">
      <colorScale>
        <cfvo type="formula" val="2"/>
        <cfvo type="formula" val="7"/>
        <color rgb="FFD9EAD3"/>
        <color rgb="FFF4CCCC"/>
      </colorScale>
    </cfRule>
  </conditionalFormatting>
  <conditionalFormatting sqref="E15">
    <cfRule type="colorScale" priority="25">
      <colorScale>
        <cfvo type="formula" val="0.1"/>
        <cfvo type="formula" val="0.3"/>
        <color rgb="FFFFFFFF"/>
        <color rgb="FFB6D7A8"/>
      </colorScale>
    </cfRule>
  </conditionalFormatting>
  <conditionalFormatting sqref="E12">
    <cfRule type="colorScale" priority="26">
      <colorScale>
        <cfvo type="formula" val="0.05"/>
        <cfvo type="formula" val="0.15"/>
        <color rgb="FFFFFFFF"/>
        <color rgb="FFB6D7A8"/>
      </colorScale>
    </cfRule>
  </conditionalFormatting>
  <conditionalFormatting sqref="E10:E11">
    <cfRule type="cellIs" dxfId="4" priority="27" operator="lessThan">
      <formula>0</formula>
    </cfRule>
  </conditionalFormatting>
  <conditionalFormatting sqref="E11">
    <cfRule type="colorScale" priority="28">
      <colorScale>
        <cfvo type="formula" val="6"/>
        <cfvo type="formula" val="12"/>
        <color rgb="FFB6D7A8"/>
        <color rgb="FFFFFFFF"/>
      </colorScale>
    </cfRule>
  </conditionalFormatting>
  <conditionalFormatting sqref="E10">
    <cfRule type="colorScale" priority="29">
      <colorScale>
        <cfvo type="formula" val="6"/>
        <cfvo type="formula" val="14"/>
        <color rgb="FFB6D7A8"/>
        <color rgb="FFFFFFFF"/>
      </colorScale>
    </cfRule>
  </conditionalFormatting>
  <conditionalFormatting sqref="E14">
    <cfRule type="colorScale" priority="30">
      <colorScale>
        <cfvo type="formula" val="0.2"/>
        <cfvo type="formula" val="0.5"/>
        <color rgb="FFFFFFFF"/>
        <color rgb="FFB6D7A8"/>
      </colorScale>
    </cfRule>
  </conditionalFormatting>
  <dataValidations>
    <dataValidation type="list" allowBlank="1" showErrorMessage="1" sqref="E16 B33">
      <formula1>"USD,CNY,GBP,EUR,KRW,JPY,CAD,BRL,KZT,DKK"</formula1>
    </dataValidation>
    <dataValidation type="list" allowBlank="1" showErrorMessage="1" sqref="N111:N124">
      <formula1>"Yes,No,Meh"</formula1>
    </dataValidation>
    <dataValidation type="list" allowBlank="1" showErrorMessage="1" sqref="C3">
      <formula1>"Static,Load,Update"</formula1>
    </dataValidation>
  </dataValidations>
  <hyperlinks>
    <hyperlink r:id="rId2" ref="E3"/>
  </hyperlinks>
  <drawing r:id="rId3"/>
  <legacy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s>
  <sheetData>
    <row r="1">
      <c r="A1" s="263" t="s">
        <v>119</v>
      </c>
      <c r="B1" s="3"/>
      <c r="C1" s="3"/>
      <c r="D1" s="3"/>
      <c r="E1" s="3"/>
      <c r="F1" s="3"/>
      <c r="G1" s="3"/>
      <c r="H1" s="3"/>
      <c r="I1" s="3"/>
      <c r="J1" s="3"/>
      <c r="K1" s="3"/>
      <c r="L1" s="3"/>
      <c r="M1" s="3"/>
    </row>
    <row r="2">
      <c r="B2" s="1"/>
      <c r="C2" s="1"/>
      <c r="D2" s="1"/>
      <c r="E2" s="1"/>
      <c r="F2" s="264"/>
      <c r="G2" s="1"/>
      <c r="H2" s="99"/>
      <c r="I2" s="1"/>
      <c r="J2" s="1"/>
      <c r="K2" s="1"/>
    </row>
    <row r="3">
      <c r="B3" s="1"/>
      <c r="C3" s="265" t="s">
        <v>28</v>
      </c>
      <c r="D3" s="266" t="s">
        <v>120</v>
      </c>
      <c r="E3" s="266" t="s">
        <v>121</v>
      </c>
      <c r="F3" s="266" t="s">
        <v>122</v>
      </c>
      <c r="G3" s="266" t="s">
        <v>123</v>
      </c>
      <c r="H3" s="266" t="s">
        <v>124</v>
      </c>
      <c r="I3" s="266" t="s">
        <v>125</v>
      </c>
      <c r="J3" s="266" t="s">
        <v>126</v>
      </c>
      <c r="K3" s="266" t="s">
        <v>127</v>
      </c>
      <c r="L3" s="266" t="s">
        <v>128</v>
      </c>
    </row>
    <row r="4">
      <c r="B4" s="267">
        <v>2007.0</v>
      </c>
      <c r="C4" s="268">
        <v>1.0</v>
      </c>
      <c r="D4" s="269">
        <v>0.1314</v>
      </c>
      <c r="E4" s="269">
        <v>2.0</v>
      </c>
      <c r="F4" s="269">
        <v>0.001</v>
      </c>
      <c r="G4" s="269">
        <v>1.37</v>
      </c>
      <c r="H4" s="269">
        <v>0.00847457627118644</v>
      </c>
      <c r="I4" s="270">
        <v>0.93</v>
      </c>
      <c r="J4" s="269">
        <v>0.5128205128205129</v>
      </c>
      <c r="K4" s="271">
        <v>0.0082</v>
      </c>
      <c r="L4" s="269">
        <v>0.17</v>
      </c>
    </row>
    <row r="5">
      <c r="B5" s="272">
        <v>2008.0</v>
      </c>
      <c r="C5" s="268">
        <v>1.0</v>
      </c>
      <c r="D5" s="271">
        <v>0.1441</v>
      </c>
      <c r="E5" s="271">
        <v>1.85</v>
      </c>
      <c r="F5" s="271">
        <v>9.090909090909091E-4</v>
      </c>
      <c r="G5" s="271">
        <v>1.47</v>
      </c>
      <c r="H5" s="271">
        <v>0.00967211529161428</v>
      </c>
      <c r="I5" s="270">
        <v>0.94</v>
      </c>
      <c r="J5" s="271">
        <v>0.5434782608695652</v>
      </c>
      <c r="K5" s="273">
        <v>0.0083</v>
      </c>
      <c r="L5" s="271">
        <v>0.18</v>
      </c>
    </row>
    <row r="6">
      <c r="B6" s="267">
        <v>2009.0</v>
      </c>
      <c r="C6" s="268">
        <v>1.0</v>
      </c>
      <c r="D6" s="269">
        <v>0.1464</v>
      </c>
      <c r="E6" s="269">
        <v>1.6494</v>
      </c>
      <c r="F6" s="269">
        <v>7.911E-4</v>
      </c>
      <c r="G6" s="269">
        <v>1.4145</v>
      </c>
      <c r="H6" s="269">
        <v>0.01035</v>
      </c>
      <c r="I6" s="269">
        <v>0.87013</v>
      </c>
      <c r="J6" s="269">
        <v>0.5</v>
      </c>
      <c r="K6" s="271">
        <v>0.0067</v>
      </c>
      <c r="L6" s="269">
        <v>0.16</v>
      </c>
    </row>
    <row r="7">
      <c r="B7" s="272">
        <v>2010.0</v>
      </c>
      <c r="C7" s="268">
        <v>1.0</v>
      </c>
      <c r="D7" s="271">
        <v>0.1477</v>
      </c>
      <c r="E7" s="271">
        <v>1.5161</v>
      </c>
      <c r="F7" s="271">
        <v>8.16E-4</v>
      </c>
      <c r="G7" s="271">
        <v>1.25049</v>
      </c>
      <c r="H7" s="271">
        <v>0.01141</v>
      </c>
      <c r="I7" s="271">
        <v>0.94422</v>
      </c>
      <c r="J7" s="271">
        <v>0.5681818181818182</v>
      </c>
      <c r="K7" s="271">
        <v>0.0068</v>
      </c>
      <c r="L7" s="271">
        <v>0.17</v>
      </c>
    </row>
    <row r="8">
      <c r="B8" s="267">
        <v>2011.0</v>
      </c>
      <c r="C8" s="268">
        <v>1.0</v>
      </c>
      <c r="D8" s="269">
        <v>0.1548</v>
      </c>
      <c r="E8" s="269">
        <v>1.607</v>
      </c>
      <c r="F8" s="269">
        <v>9.385E-4</v>
      </c>
      <c r="G8" s="269">
        <v>1.4524</v>
      </c>
      <c r="H8" s="269">
        <v>0.01237</v>
      </c>
      <c r="I8" s="269">
        <v>1.0429</v>
      </c>
      <c r="J8" s="269">
        <v>0.5988023952095809</v>
      </c>
      <c r="K8" s="269">
        <v>0.0068</v>
      </c>
      <c r="L8" s="269">
        <v>0.18</v>
      </c>
    </row>
    <row r="9">
      <c r="B9" s="272">
        <v>2012.0</v>
      </c>
      <c r="C9" s="268">
        <v>1.0</v>
      </c>
      <c r="D9" s="271">
        <v>0.1585</v>
      </c>
      <c r="E9" s="271">
        <v>1.56817</v>
      </c>
      <c r="F9" s="271">
        <v>8.606E-4</v>
      </c>
      <c r="G9" s="271">
        <v>1.2658</v>
      </c>
      <c r="H9" s="271">
        <v>0.01252</v>
      </c>
      <c r="I9" s="271">
        <v>0.98231</v>
      </c>
      <c r="J9" s="271">
        <v>0.5128205128205129</v>
      </c>
      <c r="K9" s="271">
        <v>0.0067</v>
      </c>
      <c r="L9" s="271">
        <v>0.17</v>
      </c>
    </row>
    <row r="10">
      <c r="B10" s="267">
        <v>2013.0</v>
      </c>
      <c r="C10" s="268">
        <v>1.0</v>
      </c>
      <c r="D10" s="269">
        <v>0.1626</v>
      </c>
      <c r="E10" s="269">
        <v>1.5212</v>
      </c>
      <c r="F10" s="269">
        <v>8.797E-4</v>
      </c>
      <c r="G10" s="269">
        <v>1.30636</v>
      </c>
      <c r="H10" s="269">
        <v>0.010032</v>
      </c>
      <c r="I10" s="269">
        <v>0.95219</v>
      </c>
      <c r="J10" s="269">
        <v>0.4629629629629629</v>
      </c>
      <c r="K10" s="269">
        <v>0.0066</v>
      </c>
      <c r="L10" s="269">
        <v>0.17</v>
      </c>
    </row>
    <row r="11">
      <c r="B11" s="272">
        <v>2014.0</v>
      </c>
      <c r="C11" s="268">
        <v>1.0</v>
      </c>
      <c r="D11" s="271">
        <v>0.1629</v>
      </c>
      <c r="E11" s="271">
        <v>1.5603</v>
      </c>
      <c r="F11" s="271">
        <v>9.88E-4</v>
      </c>
      <c r="G11" s="271">
        <v>1.3679</v>
      </c>
      <c r="H11" s="271">
        <v>0.009847</v>
      </c>
      <c r="I11" s="271">
        <v>0.94021</v>
      </c>
      <c r="J11" s="271">
        <v>0.425531914893617</v>
      </c>
      <c r="K11" s="271">
        <v>0.0056</v>
      </c>
      <c r="L11" s="271">
        <v>0.17</v>
      </c>
    </row>
    <row r="12">
      <c r="B12" s="267">
        <v>2015.0</v>
      </c>
      <c r="C12" s="268">
        <v>1.0</v>
      </c>
      <c r="D12" s="269">
        <v>0.159</v>
      </c>
      <c r="E12" s="269">
        <v>1.71478</v>
      </c>
      <c r="F12" s="269">
        <v>8.876E-4</v>
      </c>
      <c r="G12" s="269">
        <v>1.10375</v>
      </c>
      <c r="H12" s="269">
        <v>0.0081078</v>
      </c>
      <c r="I12" s="269">
        <v>0.79397</v>
      </c>
      <c r="J12" s="269">
        <v>0.3003003003003003</v>
      </c>
      <c r="K12" s="269">
        <v>0.0047</v>
      </c>
      <c r="L12" s="269">
        <v>0.16</v>
      </c>
    </row>
    <row r="13">
      <c r="B13" s="272">
        <v>2016.0</v>
      </c>
      <c r="C13" s="268">
        <v>1.0</v>
      </c>
      <c r="D13" s="271">
        <v>0.1506</v>
      </c>
      <c r="E13" s="271">
        <v>1.3262</v>
      </c>
      <c r="F13" s="271">
        <v>8.688E-4</v>
      </c>
      <c r="G13" s="271">
        <v>1.11383</v>
      </c>
      <c r="H13" s="271">
        <v>0.00975</v>
      </c>
      <c r="I13" s="271">
        <v>0.77446</v>
      </c>
      <c r="J13" s="271">
        <v>0.28735632183908044</v>
      </c>
      <c r="K13" s="271">
        <v>0.0029</v>
      </c>
      <c r="L13" s="271">
        <v>0.15</v>
      </c>
    </row>
    <row r="14">
      <c r="B14" s="267">
        <v>2017.0</v>
      </c>
      <c r="C14" s="268">
        <v>1.0</v>
      </c>
      <c r="D14" s="269">
        <v>0.1481</v>
      </c>
      <c r="E14" s="269">
        <v>1.3027</v>
      </c>
      <c r="F14" s="269">
        <v>8.721E-4</v>
      </c>
      <c r="G14" s="269">
        <v>1.1426</v>
      </c>
      <c r="H14" s="269">
        <v>0.0089</v>
      </c>
      <c r="I14" s="269">
        <v>0.77125</v>
      </c>
      <c r="J14" s="269">
        <v>0.31347962382445144</v>
      </c>
      <c r="K14" s="269">
        <v>0.0031</v>
      </c>
      <c r="L14" s="269">
        <v>0.16</v>
      </c>
    </row>
    <row r="15">
      <c r="B15" s="272">
        <v>2018.0</v>
      </c>
      <c r="C15" s="268">
        <v>1.0</v>
      </c>
      <c r="D15" s="271">
        <v>0.1513</v>
      </c>
      <c r="E15" s="271">
        <v>1.32066</v>
      </c>
      <c r="F15" s="271">
        <v>8.953E-4</v>
      </c>
      <c r="G15" s="271">
        <v>1.1677</v>
      </c>
      <c r="H15" s="271">
        <v>0.00903</v>
      </c>
      <c r="I15" s="271">
        <v>0.7608</v>
      </c>
      <c r="J15" s="271">
        <v>0.273972602739726</v>
      </c>
      <c r="K15" s="271">
        <v>0.0029</v>
      </c>
      <c r="L15" s="271">
        <v>0.16</v>
      </c>
    </row>
    <row r="16">
      <c r="B16" s="267">
        <v>2019.0</v>
      </c>
      <c r="C16" s="268">
        <v>1.0</v>
      </c>
      <c r="D16" s="269">
        <v>0.1447</v>
      </c>
      <c r="E16" s="269">
        <v>1.26434</v>
      </c>
      <c r="F16" s="269">
        <v>8.6077E-4</v>
      </c>
      <c r="G16" s="269">
        <v>1.12867</v>
      </c>
      <c r="H16" s="269">
        <v>0.009226</v>
      </c>
      <c r="I16" s="269">
        <v>0.7611</v>
      </c>
      <c r="J16" s="269">
        <v>0.25380710659898476</v>
      </c>
      <c r="K16" s="269">
        <v>0.0026</v>
      </c>
      <c r="L16" s="269">
        <v>0.15</v>
      </c>
    </row>
    <row r="17">
      <c r="B17" s="272">
        <v>2020.0</v>
      </c>
      <c r="C17" s="268">
        <v>1.0</v>
      </c>
      <c r="D17" s="271">
        <v>0.1449</v>
      </c>
      <c r="E17" s="271">
        <v>1.24631</v>
      </c>
      <c r="F17" s="271">
        <v>8.314625E-4</v>
      </c>
      <c r="G17" s="271">
        <v>1.12507</v>
      </c>
      <c r="H17" s="271">
        <v>0.009313155</v>
      </c>
      <c r="I17" s="271">
        <v>0.7356</v>
      </c>
      <c r="J17" s="271">
        <v>0.1941747572815534</v>
      </c>
      <c r="K17" s="271">
        <v>0.0024</v>
      </c>
      <c r="L17" s="271">
        <v>0.16</v>
      </c>
    </row>
    <row r="18">
      <c r="B18" s="267">
        <v>2021.0</v>
      </c>
      <c r="C18" s="268">
        <v>1.0</v>
      </c>
      <c r="D18" s="269">
        <v>0.155</v>
      </c>
      <c r="E18" s="269">
        <v>1.37586</v>
      </c>
      <c r="F18" s="269">
        <v>8.799641E-4</v>
      </c>
      <c r="G18" s="269">
        <v>1.18455</v>
      </c>
      <c r="H18" s="269">
        <v>0.008962662</v>
      </c>
      <c r="I18" s="269">
        <v>0.8037293</v>
      </c>
      <c r="J18" s="269">
        <v>0.1855287569573284</v>
      </c>
      <c r="K18" s="269">
        <v>0.0023</v>
      </c>
      <c r="L18" s="269">
        <v>0.15</v>
      </c>
    </row>
    <row r="19">
      <c r="B19" s="272">
        <v>2022.0</v>
      </c>
      <c r="C19" s="268">
        <v>1.0</v>
      </c>
      <c r="D19" s="271">
        <v>0.1484</v>
      </c>
      <c r="E19" s="271">
        <v>1.20933</v>
      </c>
      <c r="F19" s="271">
        <v>7.686809E-4</v>
      </c>
      <c r="G19" s="271">
        <v>1.04272</v>
      </c>
      <c r="H19" s="271">
        <v>0.007395137</v>
      </c>
      <c r="I19" s="271">
        <v>0.7681554</v>
      </c>
      <c r="J19" s="271">
        <v>0.19379844961240308</v>
      </c>
      <c r="K19" s="271">
        <v>0.0022</v>
      </c>
      <c r="L19" s="271">
        <v>0.14</v>
      </c>
    </row>
    <row r="20">
      <c r="B20" s="267">
        <v>2023.0</v>
      </c>
      <c r="C20" s="268">
        <v>1.0</v>
      </c>
      <c r="D20" s="269">
        <v>0.1433</v>
      </c>
      <c r="E20" s="269">
        <v>1.25845</v>
      </c>
      <c r="F20" s="269">
        <v>7.60282825E-4</v>
      </c>
      <c r="G20" s="269">
        <v>1.092</v>
      </c>
      <c r="H20" s="269">
        <v>0.006927606</v>
      </c>
      <c r="I20" s="269">
        <v>0.745412</v>
      </c>
      <c r="J20" s="269">
        <v>0.19607843137254904</v>
      </c>
      <c r="K20" s="269">
        <v>0.0022</v>
      </c>
      <c r="L20" s="269">
        <v>0.15</v>
      </c>
    </row>
    <row r="21">
      <c r="B21" s="272">
        <v>2024.0</v>
      </c>
      <c r="C21" s="268">
        <v>1.0</v>
      </c>
      <c r="D21" s="271">
        <v>0.1375686</v>
      </c>
      <c r="E21" s="271">
        <v>1.26444</v>
      </c>
      <c r="F21" s="271">
        <v>7.219852E-4</v>
      </c>
      <c r="G21" s="271">
        <v>1.07363</v>
      </c>
      <c r="H21" s="271">
        <v>0.006191529</v>
      </c>
      <c r="I21" s="271">
        <v>0.72785</v>
      </c>
      <c r="J21" s="271">
        <v>0.1767409</v>
      </c>
      <c r="K21" s="271">
        <v>0.002096197</v>
      </c>
      <c r="L21" s="271">
        <v>0.15</v>
      </c>
    </row>
    <row r="22">
      <c r="B22" s="274">
        <v>2025.0</v>
      </c>
      <c r="C22" s="268">
        <v>1.0</v>
      </c>
      <c r="D22" s="49">
        <v>0.1403</v>
      </c>
      <c r="E22" s="49">
        <v>1.3175</v>
      </c>
      <c r="F22" s="49">
        <v>7.0E-4</v>
      </c>
      <c r="G22" s="49">
        <v>1.1287</v>
      </c>
      <c r="H22" s="49">
        <v>0.0067</v>
      </c>
      <c r="I22" s="49">
        <v>0.7153</v>
      </c>
      <c r="J22" s="49">
        <v>0.1788</v>
      </c>
      <c r="K22" s="49">
        <v>0.0019</v>
      </c>
      <c r="L22" s="49">
        <v>0.1511</v>
      </c>
    </row>
    <row r="23">
      <c r="B23" s="275" t="s">
        <v>52</v>
      </c>
      <c r="C23" s="268">
        <v>1.0</v>
      </c>
      <c r="D23" s="49">
        <v>0.1403</v>
      </c>
      <c r="E23" s="49">
        <v>1.3175</v>
      </c>
      <c r="F23" s="49">
        <v>7.0E-4</v>
      </c>
      <c r="G23" s="49">
        <v>1.1287</v>
      </c>
      <c r="H23" s="49">
        <v>0.0067</v>
      </c>
      <c r="I23" s="49">
        <v>0.7153</v>
      </c>
      <c r="J23" s="49">
        <v>0.1788</v>
      </c>
      <c r="K23" s="49">
        <v>0.0019</v>
      </c>
      <c r="L23" s="49">
        <v>0.1511</v>
      </c>
    </row>
    <row r="24">
      <c r="B24" s="275" t="s">
        <v>129</v>
      </c>
      <c r="C24" s="268">
        <v>1.0</v>
      </c>
      <c r="D24" s="49">
        <v>0.1403</v>
      </c>
      <c r="E24" s="49">
        <v>1.3175</v>
      </c>
      <c r="F24" s="49">
        <v>7.0E-4</v>
      </c>
      <c r="G24" s="49">
        <v>1.1287</v>
      </c>
      <c r="H24" s="49">
        <v>0.0067</v>
      </c>
      <c r="I24" s="49">
        <v>0.7153</v>
      </c>
      <c r="J24" s="49">
        <v>0.1788</v>
      </c>
      <c r="K24" s="49">
        <v>0.0019</v>
      </c>
      <c r="L24" s="49">
        <v>0.1511</v>
      </c>
    </row>
    <row r="26">
      <c r="B26" s="276" t="s">
        <v>130</v>
      </c>
    </row>
  </sheetData>
  <mergeCells count="1">
    <mergeCell ref="A1:M1"/>
  </mergeCells>
  <drawing r:id="rId1"/>
  <tableParts count="1">
    <tablePart r:id="rId3"/>
  </tableParts>
</worksheet>
</file>